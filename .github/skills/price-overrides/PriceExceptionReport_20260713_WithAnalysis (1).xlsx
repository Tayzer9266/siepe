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mc:AlternateContent xmlns:mc="http://schemas.openxmlformats.org/markup-compatibility/2006">
    <mc:Choice Requires="x15">
      <x15ac:absPath xmlns:x15ac="http://schemas.microsoft.com/office/spreadsheetml/2010/11/ac" url="C:\source\MD\AdminTools\.github\skills\price-overrides\"/>
    </mc:Choice>
  </mc:AlternateContent>
  <xr:revisionPtr revIDLastSave="0" documentId="13_ncr:1_{4D114651-DC6C-4685-8AB6-055D8F05FA16}" xr6:coauthVersionLast="47" xr6:coauthVersionMax="47" xr10:uidLastSave="{00000000-0000-0000-0000-000000000000}"/>
  <bookViews>
    <workbookView xWindow="6015" yWindow="1470" windowWidth="16680" windowHeight="14670" activeTab="1" xr2:uid="{00000000-000D-0000-FFFF-FFFF00000000}"/>
  </bookViews>
  <sheets>
    <sheet name="MOS Marks That Don't Match Mark" sheetId="1" r:id="rId1"/>
    <sheet name="Sheet1" sheetId="7" r:id="rId2"/>
    <sheet name="Steps" sheetId="6" r:id="rId3"/>
    <sheet name="MOS Null Marks" sheetId="2" r:id="rId4"/>
    <sheet name="FundRun Missing Prices" sheetId="3" r:id="rId5"/>
  </sheets>
  <definedNames>
    <definedName name="_xlnm._FilterDatabase" localSheetId="0" hidden="1">'MOS Marks That Don''t Match Mark'!$A$1:$R$102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2" i="2"/>
  <c r="N80" i="1"/>
  <c r="N88" i="1"/>
  <c r="N95" i="1"/>
  <c r="N94" i="1"/>
  <c r="N89" i="1"/>
  <c r="N91" i="1"/>
  <c r="N92" i="1"/>
  <c r="N93" i="1"/>
  <c r="N90" i="1"/>
  <c r="N96" i="1"/>
  <c r="N98" i="1"/>
  <c r="N102" i="1"/>
  <c r="N97" i="1"/>
  <c r="N100" i="1"/>
  <c r="N101" i="1"/>
  <c r="N99" i="1"/>
  <c r="N3" i="1"/>
  <c r="N11" i="1"/>
  <c r="N12" i="1"/>
  <c r="N14" i="1"/>
  <c r="N15" i="1"/>
  <c r="N7" i="1"/>
  <c r="N13" i="1"/>
  <c r="N6" i="1"/>
  <c r="N8" i="1"/>
  <c r="N4" i="1"/>
  <c r="N2" i="1"/>
  <c r="N9" i="1"/>
  <c r="N5" i="1"/>
  <c r="N10" i="1"/>
  <c r="N17" i="1"/>
  <c r="N21" i="1"/>
  <c r="N19" i="1"/>
  <c r="N29" i="1"/>
  <c r="N25" i="1"/>
  <c r="N27" i="1"/>
  <c r="N20" i="1"/>
  <c r="N24" i="1"/>
  <c r="N28" i="1"/>
  <c r="N22" i="1"/>
  <c r="N18" i="1"/>
  <c r="N26" i="1"/>
  <c r="N16" i="1"/>
  <c r="N23" i="1"/>
  <c r="N44" i="1"/>
  <c r="N79" i="1"/>
  <c r="N32" i="1"/>
  <c r="N58" i="1"/>
  <c r="N65" i="1"/>
  <c r="N71" i="1"/>
  <c r="N78" i="1"/>
  <c r="N68" i="1"/>
  <c r="N31" i="1"/>
  <c r="N70" i="1"/>
  <c r="N55" i="1"/>
  <c r="N60" i="1"/>
  <c r="N35" i="1"/>
  <c r="N45" i="1"/>
  <c r="N52" i="1"/>
  <c r="N77" i="1"/>
  <c r="N57" i="1"/>
  <c r="N41" i="1"/>
  <c r="N51" i="1"/>
  <c r="N40" i="1"/>
  <c r="N43" i="1"/>
  <c r="N38" i="1"/>
  <c r="N73" i="1"/>
  <c r="N53" i="1"/>
  <c r="N66" i="1"/>
  <c r="N64" i="1"/>
  <c r="N59" i="1"/>
  <c r="N61" i="1"/>
  <c r="N48" i="1"/>
  <c r="N36" i="1"/>
  <c r="N46" i="1"/>
  <c r="N67" i="1"/>
  <c r="N39" i="1"/>
  <c r="N56" i="1"/>
  <c r="N49" i="1"/>
  <c r="N74" i="1"/>
  <c r="N76" i="1"/>
  <c r="N63" i="1"/>
  <c r="N50" i="1"/>
  <c r="N62" i="1"/>
  <c r="N42" i="1"/>
  <c r="N30" i="1"/>
  <c r="N33" i="1"/>
  <c r="N34" i="1"/>
  <c r="N37" i="1"/>
  <c r="N47" i="1"/>
  <c r="N75" i="1"/>
  <c r="N69" i="1"/>
  <c r="N54" i="1"/>
  <c r="N72" i="1"/>
</calcChain>
</file>

<file path=xl/sharedStrings.xml><?xml version="1.0" encoding="utf-8"?>
<sst xmlns="http://schemas.openxmlformats.org/spreadsheetml/2006/main" count="1216" uniqueCount="141">
  <si>
    <t>RefDataSetDate</t>
  </si>
  <si>
    <t>PriceDate</t>
  </si>
  <si>
    <t>Portfolio</t>
  </si>
  <si>
    <t>InstID</t>
  </si>
  <si>
    <t>Instrument</t>
  </si>
  <si>
    <t>Primary Identifier</t>
  </si>
  <si>
    <t>PositionMark</t>
  </si>
  <si>
    <t>Bid</t>
  </si>
  <si>
    <t>Name</t>
  </si>
  <si>
    <t>Sycamore Tree CLO 2023-2, Ltd.</t>
  </si>
  <si>
    <t>Penn Entertainment, Inc. Term B Facility Loan 05/30/2033 LX204108</t>
  </si>
  <si>
    <t>LX204108</t>
  </si>
  <si>
    <t>MarkIt Loan Pricing</t>
  </si>
  <si>
    <t>BCP VI Summit Holdings LP Initial Term Loan 01/30/2032 LX245155</t>
  </si>
  <si>
    <t>LX245155</t>
  </si>
  <si>
    <t>Sycamore Tree CLO 2023-3, Ltd</t>
  </si>
  <si>
    <t>Sycamore Tree CLO 2023-4, Ltd</t>
  </si>
  <si>
    <t>Sycamore Tree CLO 2025-6, Ltd</t>
  </si>
  <si>
    <t>Sycamore Tree CLO 2025-7, Ltd</t>
  </si>
  <si>
    <t>Sycamore Tree CLO 2024-5, Ltd</t>
  </si>
  <si>
    <t>Sycamore Tree CLO 2021-1, Ltd</t>
  </si>
  <si>
    <t>United Natural Foods, Inc. 2026 Term Loan 05/01/2031 LX292339</t>
  </si>
  <si>
    <t>LX292339</t>
  </si>
  <si>
    <t>Houghton Mifflin Harcourt Company Term B Loan (First Lien) 04/09/2029 LX203423</t>
  </si>
  <si>
    <t>LX203423</t>
  </si>
  <si>
    <t>Varsity Brands, Inc. 2025-2 Replacement Term Loan 08/26/2031 LX269902</t>
  </si>
  <si>
    <t>LX269902</t>
  </si>
  <si>
    <t>EnergySolutions, LLC Initial Term Loan 09/20/2030 LX216625</t>
  </si>
  <si>
    <t>LX216625</t>
  </si>
  <si>
    <t>Kaman Corporation 2026-1 New Term Loan 02/26/2032 LX292248</t>
  </si>
  <si>
    <t>LX292248</t>
  </si>
  <si>
    <t>Rockpoint Gas Storage Partners LP Amendment No. 3 Refinancing Term Loan 09/18/2031 LX289754</t>
  </si>
  <si>
    <t>LX289754</t>
  </si>
  <si>
    <t>Kaman Corporation 2026-1 New Delayed Draw Term Loan 02/26/2032 LX292249</t>
  </si>
  <si>
    <t>LX292249</t>
  </si>
  <si>
    <t>Sycamore Tree Opportunistic Credit Fund LP</t>
  </si>
  <si>
    <t>First Brands Group, LLC 2022-II Incremental Term Loan (First Lien) 03/30/2027 LX209837</t>
  </si>
  <si>
    <t>LX209837</t>
  </si>
  <si>
    <t>First Brands Group, LLC 2021 Term Loan (First Lien) 03/30/2027 LX193456</t>
  </si>
  <si>
    <t>LX193456</t>
  </si>
  <si>
    <t>Lumexa Imaging, Inc. (Lumexa Imaging Outpatient, Inc.) Amendment No. 7 Replacement Term Loan 12/17/2032 LX292762</t>
  </si>
  <si>
    <t>LX292762</t>
  </si>
  <si>
    <t>Benefit Street Partners CLO Lt BSP 2018-15A A1R</t>
  </si>
  <si>
    <t>08179MAN9</t>
  </si>
  <si>
    <t>ICE</t>
  </si>
  <si>
    <t>Madison Park Funding Ltd MDPK 2024-58A A</t>
  </si>
  <si>
    <t>55817BAA0</t>
  </si>
  <si>
    <t>TradedQty</t>
  </si>
  <si>
    <t>Rand Parent, LLC Term Loan B 03/18/2030 LX293144</t>
  </si>
  <si>
    <t>LX293144</t>
  </si>
  <si>
    <t>SonicWall US Holdings Inc. Second Out Term 1 Loan (First Lien) 04/26/2030 LX293168</t>
  </si>
  <si>
    <t>LX293168</t>
  </si>
  <si>
    <t>InstrumentName</t>
  </si>
  <si>
    <t>InstType</t>
  </si>
  <si>
    <t>Securityidentifier</t>
  </si>
  <si>
    <t>Mean</t>
  </si>
  <si>
    <t>Ask</t>
  </si>
  <si>
    <t>Currency</t>
  </si>
  <si>
    <t>PPM CLO LTD PPM 2024-7AR</t>
  </si>
  <si>
    <t>ABS</t>
  </si>
  <si>
    <t>693979BC9</t>
  </si>
  <si>
    <t>N/A</t>
  </si>
  <si>
    <t>USD</t>
  </si>
  <si>
    <t>Venture CDO Ltd VENTR 2021-42AR A2R</t>
  </si>
  <si>
    <t>923260AS2</t>
  </si>
  <si>
    <t>Position Mark Mismatch?</t>
  </si>
  <si>
    <t>Solvas Price Mismatch?</t>
  </si>
  <si>
    <t>Bid Price on MOS?</t>
  </si>
  <si>
    <t>Yes</t>
  </si>
  <si>
    <t>No</t>
  </si>
  <si>
    <t xml:space="preserve">--check core position mark on active position </t>
  </si>
  <si>
    <r>
      <t>select</t>
    </r>
    <r>
      <rPr>
        <sz val="10"/>
        <color theme="1"/>
        <rFont val="Cascadia Mono"/>
        <family val="3"/>
      </rPr>
      <t xml:space="preserve"> </t>
    </r>
    <r>
      <rPr>
        <sz val="10"/>
        <color rgb="FF98C6FF"/>
        <rFont val="Cascadia Mono"/>
        <family val="3"/>
      </rPr>
      <t>distinct</t>
    </r>
    <r>
      <rPr>
        <sz val="10"/>
        <color theme="1"/>
        <rFont val="Cascadia Mono"/>
        <family val="3"/>
      </rPr>
      <t xml:space="preserve"> PositionMark, p.refdatasetdate, p.EffFromDate, p.Tradedqty , p.Portfolio, ii.value </t>
    </r>
  </si>
  <si>
    <r>
      <t>from</t>
    </r>
    <r>
      <rPr>
        <sz val="10"/>
        <color theme="1"/>
        <rFont val="Cascadia Mono"/>
        <family val="3"/>
      </rPr>
      <t xml:space="preserve"> core.dbo.vposition p </t>
    </r>
  </si>
  <si>
    <r>
      <t>join</t>
    </r>
    <r>
      <rPr>
        <sz val="10"/>
        <color theme="1"/>
        <rFont val="Cascadia Mono"/>
        <family val="3"/>
      </rPr>
      <t xml:space="preserve"> core.dbo.vinstidentifiercurrent ii </t>
    </r>
    <r>
      <rPr>
        <sz val="10"/>
        <color rgb="FF98C6FF"/>
        <rFont val="Cascadia Mono"/>
        <family val="3"/>
      </rPr>
      <t>on</t>
    </r>
    <r>
      <rPr>
        <sz val="10"/>
        <color theme="1"/>
        <rFont val="Cascadia Mono"/>
        <family val="3"/>
      </rPr>
      <t xml:space="preserve"> ii.instid = p.instid </t>
    </r>
    <r>
      <rPr>
        <sz val="10"/>
        <color rgb="FF92C353"/>
        <rFont val="Cascadia Mono"/>
        <family val="3"/>
      </rPr>
      <t>-- and ii.InstIdentifierType = 'LoanXID'</t>
    </r>
  </si>
  <si>
    <r>
      <t>where</t>
    </r>
    <r>
      <rPr>
        <sz val="10"/>
        <color theme="1"/>
        <rFont val="Cascadia Mono"/>
        <family val="3"/>
      </rPr>
      <t xml:space="preserve">  p.refdatasetdate =</t>
    </r>
    <r>
      <rPr>
        <sz val="10"/>
        <color rgb="FFF1707B"/>
        <rFont val="Cascadia Mono"/>
        <family val="3"/>
      </rPr>
      <t>'2025-6-4 00:00:00.000'</t>
    </r>
  </si>
  <si>
    <r>
      <t>and</t>
    </r>
    <r>
      <rPr>
        <sz val="10"/>
        <color theme="1"/>
        <rFont val="Cascadia Mono"/>
        <family val="3"/>
      </rPr>
      <t xml:space="preserve"> p.Portfolio </t>
    </r>
    <r>
      <rPr>
        <sz val="10"/>
        <color rgb="FF98C6FF"/>
        <rFont val="Cascadia Mono"/>
        <family val="3"/>
      </rPr>
      <t>like</t>
    </r>
    <r>
      <rPr>
        <sz val="10"/>
        <color theme="1"/>
        <rFont val="Cascadia Mono"/>
        <family val="3"/>
      </rPr>
      <t xml:space="preserve"> </t>
    </r>
    <r>
      <rPr>
        <sz val="10"/>
        <color rgb="FFF1707B"/>
        <rFont val="Cascadia Mono"/>
        <family val="3"/>
      </rPr>
      <t>'%sy%'</t>
    </r>
  </si>
  <si>
    <r>
      <t>and</t>
    </r>
    <r>
      <rPr>
        <sz val="10"/>
        <color theme="1"/>
        <rFont val="Cascadia Mono"/>
        <family val="3"/>
      </rPr>
      <t xml:space="preserve"> ii.value = </t>
    </r>
    <r>
      <rPr>
        <sz val="10"/>
        <color rgb="FFF1707B"/>
        <rFont val="Cascadia Mono"/>
        <family val="3"/>
      </rPr>
      <t>'64132YAW2'</t>
    </r>
  </si>
  <si>
    <r>
      <t>order</t>
    </r>
    <r>
      <rPr>
        <sz val="10"/>
        <color theme="1"/>
        <rFont val="Cascadia Mono"/>
        <family val="3"/>
      </rPr>
      <t xml:space="preserve"> </t>
    </r>
    <r>
      <rPr>
        <sz val="10"/>
        <color rgb="FF98C6FF"/>
        <rFont val="Cascadia Mono"/>
        <family val="3"/>
      </rPr>
      <t>by</t>
    </r>
    <r>
      <rPr>
        <sz val="10"/>
        <color theme="1"/>
        <rFont val="Cascadia Mono"/>
        <family val="3"/>
      </rPr>
      <t xml:space="preserve"> 2 </t>
    </r>
    <r>
      <rPr>
        <sz val="10"/>
        <color rgb="FF98C6FF"/>
        <rFont val="Cascadia Mono"/>
        <family val="3"/>
      </rPr>
      <t>desc</t>
    </r>
  </si>
  <si>
    <t>--checking to see if we have data from a vendor</t>
  </si>
  <si>
    <r>
      <t>from</t>
    </r>
    <r>
      <rPr>
        <sz val="10"/>
        <color theme="1"/>
        <rFont val="Cascadia Mono"/>
        <family val="3"/>
      </rPr>
      <t xml:space="preserve"> Reference.dbo.vinstpricecurrentraw p </t>
    </r>
  </si>
  <si>
    <r>
      <t>join</t>
    </r>
    <r>
      <rPr>
        <sz val="10"/>
        <color theme="1"/>
        <rFont val="Cascadia Mono"/>
        <family val="3"/>
      </rPr>
      <t xml:space="preserve"> Reference.dbo.vRefDataSource r </t>
    </r>
    <r>
      <rPr>
        <sz val="10"/>
        <color rgb="FF98C6FF"/>
        <rFont val="Cascadia Mono"/>
        <family val="3"/>
      </rPr>
      <t>on</t>
    </r>
    <r>
      <rPr>
        <sz val="10"/>
        <color theme="1"/>
        <rFont val="Cascadia Mono"/>
        <family val="3"/>
      </rPr>
      <t xml:space="preserve"> r.RefDataSourceID = p.RefDataSourceID</t>
    </r>
  </si>
  <si>
    <r>
      <t>join</t>
    </r>
    <r>
      <rPr>
        <sz val="10"/>
        <color theme="1"/>
        <rFont val="Cascadia Mono"/>
        <family val="3"/>
      </rPr>
      <t xml:space="preserve"> Reference.dbo.vInstIdentifierCurrent ii </t>
    </r>
    <r>
      <rPr>
        <sz val="10"/>
        <color rgb="FF98C6FF"/>
        <rFont val="Cascadia Mono"/>
        <family val="3"/>
      </rPr>
      <t>on</t>
    </r>
    <r>
      <rPr>
        <sz val="10"/>
        <color theme="1"/>
        <rFont val="Cascadia Mono"/>
        <family val="3"/>
      </rPr>
      <t xml:space="preserve"> ii.instid = p.instid </t>
    </r>
  </si>
  <si>
    <r>
      <t>where</t>
    </r>
    <r>
      <rPr>
        <sz val="10"/>
        <color theme="1"/>
        <rFont val="Cascadia Mono"/>
        <family val="3"/>
      </rPr>
      <t xml:space="preserve">  ii.value = </t>
    </r>
    <r>
      <rPr>
        <sz val="10"/>
        <color rgb="FFF1707B"/>
        <rFont val="Cascadia Mono"/>
        <family val="3"/>
      </rPr>
      <t>'846031AT9'</t>
    </r>
  </si>
  <si>
    <r>
      <t>and</t>
    </r>
    <r>
      <rPr>
        <sz val="10"/>
        <color theme="1"/>
        <rFont val="Cascadia Mono"/>
        <family val="3"/>
      </rPr>
      <t xml:space="preserve"> r.name </t>
    </r>
    <r>
      <rPr>
        <sz val="10"/>
        <color rgb="FF98C6FF"/>
        <rFont val="Cascadia Mono"/>
        <family val="3"/>
      </rPr>
      <t>not</t>
    </r>
    <r>
      <rPr>
        <sz val="10"/>
        <color theme="1"/>
        <rFont val="Cascadia Mono"/>
        <family val="3"/>
      </rPr>
      <t xml:space="preserve"> </t>
    </r>
    <r>
      <rPr>
        <sz val="10"/>
        <color rgb="FF98C6FF"/>
        <rFont val="Cascadia Mono"/>
        <family val="3"/>
      </rPr>
      <t>in</t>
    </r>
    <r>
      <rPr>
        <sz val="10"/>
        <color theme="1"/>
        <rFont val="Cascadia Mono"/>
        <family val="3"/>
      </rPr>
      <t xml:space="preserve"> (</t>
    </r>
    <r>
      <rPr>
        <sz val="10"/>
        <color rgb="FFF1707B"/>
        <rFont val="Cascadia Mono"/>
        <family val="3"/>
      </rPr>
      <t>'solvas portfolio'</t>
    </r>
    <r>
      <rPr>
        <sz val="10"/>
        <color theme="1"/>
        <rFont val="Cascadia Mono"/>
        <family val="3"/>
      </rPr>
      <t xml:space="preserve">) </t>
    </r>
  </si>
  <si>
    <t>--and p.PriceDate ='2025-6-4 00:00:00.000'</t>
  </si>
  <si>
    <r>
      <t>order</t>
    </r>
    <r>
      <rPr>
        <sz val="10"/>
        <color theme="1"/>
        <rFont val="Cascadia Mono"/>
        <family val="3"/>
      </rPr>
      <t xml:space="preserve"> </t>
    </r>
    <r>
      <rPr>
        <sz val="10"/>
        <color rgb="FF98C6FF"/>
        <rFont val="Cascadia Mono"/>
        <family val="3"/>
      </rPr>
      <t>by</t>
    </r>
    <r>
      <rPr>
        <sz val="10"/>
        <color theme="1"/>
        <rFont val="Cascadia Mono"/>
        <family val="3"/>
      </rPr>
      <t xml:space="preserve"> pricedate </t>
    </r>
    <r>
      <rPr>
        <sz val="10"/>
        <color rgb="FF98C6FF"/>
        <rFont val="Cascadia Mono"/>
        <family val="3"/>
      </rPr>
      <t>desc</t>
    </r>
    <r>
      <rPr>
        <sz val="10"/>
        <color theme="1"/>
        <rFont val="Cascadia Mono"/>
        <family val="3"/>
      </rPr>
      <t xml:space="preserve"> </t>
    </r>
  </si>
  <si>
    <t>--loans</t>
  </si>
  <si>
    <t>--bond s</t>
  </si>
  <si>
    <t>--and d.issue_id = 11139</t>
  </si>
  <si>
    <t>TradeQuantity Mismatch?</t>
  </si>
  <si>
    <t>SecM Bid</t>
  </si>
  <si>
    <t>SecM Price</t>
  </si>
  <si>
    <t>Bid Prices on Mos</t>
  </si>
  <si>
    <t>Solvas Loan Price</t>
  </si>
  <si>
    <t>Solva Bond Price</t>
  </si>
  <si>
    <t>Is Correct Bid on SecM?</t>
  </si>
  <si>
    <t>Wait 15-20m, then check reference prices and replace NO with YES if it has changed successfully.</t>
  </si>
  <si>
    <t>Task 84763 Second Step: SecM Price Recon</t>
  </si>
  <si>
    <t>EXEC Core.Report.pPriceExport @PriceSourceIDList= '1000000001,1000000004,1000000016', @InstrumentSourceIDList =NULL</t>
  </si>
  <si>
    <t>EXEC Core.Report.pPriceExport @PriceSourceIDList='1000000001,1000000004,1000000016',@InstrumentSourceIDList=NULL,@Date='2026-06-15'</t>
  </si>
  <si>
    <t>EXEC Core.Report.pPriceExport @PriceSourceIDList='1000000001,1000000004,1000000016',@InstrumentSourceIDList=NULL,@Date='2026-06-16'</t>
  </si>
  <si>
    <t>EXEC Core.Report.pPriceExport @PriceSourceIDList='1000000001,1000000004,1000000016',@InstrumentSourceIDList=NULL,@Date='2026-07-01'</t>
  </si>
  <si>
    <t>EXEC Core.Report.pPriceExport @PriceSourceIDList='1000000001,1000000004,1000000016',@InstrumentSourceIDList=NULL,@Date='2026-07-02'</t>
  </si>
  <si>
    <t>EXEC Core.Report.pPriceExport @PriceSourceIDList='1000000001,1000000004,1000000016',@InstrumentSourceIDList=NULL,@Date='2026-07-03'</t>
  </si>
  <si>
    <t>This needs to be individuallly ran and each ones takes 20 mins.  Do Not run multiple as it will replace the old one. They need to complete before you can fun a new execution.</t>
  </si>
  <si>
    <t>EXEC Core.Report.pPriceExport @PriceSourceIDList='1000000001,1000000004,1000000016',@InstrumentSourceIDList=NULL,@Date={RefDataSetDate}</t>
  </si>
  <si>
    <t>E.G.</t>
  </si>
  <si>
    <t>Report Subscription # 700002320</t>
  </si>
  <si>
    <t>Security Master Portal</t>
  </si>
  <si>
    <t>Check Position Mark price on MOS database</t>
  </si>
  <si>
    <t>Check Bid prices on MOS database</t>
  </si>
  <si>
    <r>
      <t>select</t>
    </r>
    <r>
      <rPr>
        <sz val="10"/>
        <color theme="1"/>
        <rFont val="Cascadia Mono"/>
        <family val="3"/>
      </rPr>
      <t xml:space="preserve"> top 100 Bid, * </t>
    </r>
  </si>
  <si>
    <t>Check Loan Pricing Type on Solvas Database for either a bond or loans depending on the asset type</t>
  </si>
  <si>
    <t>from solvas_am.dbo.deal_issue_market_value d</t>
  </si>
  <si>
    <t>join solvas_am.dbo.entity e on e.entity_id = d.entity_id</t>
  </si>
  <si>
    <t>join solvas_am.dbo.Entity_Issue_view EV  on coalesce(ev.facility_id, ev.Issue_id) = d.issue_id and ev.entity_id = e.entity_id</t>
  </si>
  <si>
    <t>where e.deal_name like 'Sy%'</t>
  </si>
  <si>
    <t xml:space="preserve">order  by begin_date desc </t>
  </si>
  <si>
    <t xml:space="preserve">select d.pricing_type_1,  e.deal_name, d.* </t>
  </si>
  <si>
    <t>from solvas_am.dbo.deal_facility_market_value d</t>
  </si>
  <si>
    <t>join solvas_am.dbo.Entity_Issue_view EV  on coalesce(ev.facility_id, ev.Issue_id) = d.facility_id and ev.entity_id = e.entity_id</t>
  </si>
  <si>
    <t>where ev.lx_identifier  in ('LX245155')</t>
  </si>
  <si>
    <t>and e.deal_name like 'sy%'</t>
  </si>
  <si>
    <t>and begin_date = '2026-6-15 00:00:00.000'</t>
  </si>
  <si>
    <t xml:space="preserve">order by begin_date desc </t>
  </si>
  <si>
    <t>select market_value_indent, *</t>
  </si>
  <si>
    <t>and ev.cusip_number    in ('LX245155')</t>
  </si>
  <si>
    <t>Check Bid Prices on Secmater database</t>
  </si>
  <si>
    <t xml:space="preserve">SELECT bid, * FROM Reference.dbo.tInstPrice </t>
  </si>
  <si>
    <t xml:space="preserve">where instid= (SELECT instid FROM Reference.dbo.vinstidentifier </t>
  </si>
  <si>
    <t xml:space="preserve">where Value='LX189433' </t>
  </si>
  <si>
    <t xml:space="preserve">AND RefDataSource like '%MarkIT LoanXMarks%') </t>
  </si>
  <si>
    <t>AND PriceDate = '2026-06-03'</t>
  </si>
  <si>
    <t>order by PriceDate</t>
  </si>
  <si>
    <t>If bid prices on Secmaster matches the Bid prices privided and the Mos Prices does not match.  Then we need to run report subscription below to update the Security Master Bid Prices to the Mos Prices for each unique day.</t>
  </si>
  <si>
    <t>Check to see if there is any trade quanity mismatch from the MOS Null Marks sheet or something similar</t>
  </si>
  <si>
    <t>2b</t>
  </si>
  <si>
    <t>Create New Fields to compare MOS marks that Don't Match</t>
  </si>
  <si>
    <t>1b</t>
  </si>
  <si>
    <t>Append Fields from Query Research</t>
  </si>
  <si>
    <t>Sycamore Tree CLO 2023-2,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</si>
</sst>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theme="1"/>
      <name val="Arial"/>
      <family val="2"/>
    </font>
    <font>
      <sz val="10"/>
      <color rgb="FF92C353"/>
      <name val="Cascadia Mono"/>
      <family val="3"/>
    </font>
    <font>
      <sz val="10"/>
      <color rgb="FF98C6FF"/>
      <name val="Cascadia Mono"/>
      <family val="3"/>
    </font>
    <font>
      <sz val="10"/>
      <color theme="1"/>
      <name val="Cascadia Mono"/>
      <family val="3"/>
    </font>
    <font>
      <sz val="10"/>
      <color rgb="FFF1707B"/>
      <name val="Cascadia Mono"/>
      <family val="3"/>
    </font>
    <font>
      <sz val="9"/>
      <color rgb="FF0000FF"/>
      <name val="Cascadia Mono"/>
      <family val="3"/>
    </font>
    <font>
      <sz val="9"/>
      <color rgb="FF808080"/>
      <name val="Cascadia Mono"/>
      <family val="3"/>
    </font>
    <font>
      <sz val="9"/>
      <color rgb="FF008000"/>
      <name val="Cascadia Mono"/>
      <family val="3"/>
    </font>
    <font>
      <sz val="11"/>
      <color theme="1"/>
      <name val="Segoe UI"/>
      <family val="2"/>
    </font>
    <font>
      <u/>
      <sz val="10"/>
      <color theme="10"/>
      <name val="Arial"/>
      <family val="2"/>
    </font>
  </fonts>
  <fills count="9">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
      <patternFill patternType="solid">
        <fgColor rgb="FFFF0000"/>
        <bgColor indexed="64"/>
      </patternFill>
    </fill>
    <fill>
      <patternFill patternType="solid">
        <fgColor theme="9"/>
        <bgColor indexed="64"/>
      </patternFill>
    </fill>
    <fill>
      <patternFill patternType="solid">
        <fgColor theme="9" tint="0.59999389629810485"/>
        <bgColor indexed="64"/>
      </patternFill>
    </fill>
    <fill>
      <patternFill patternType="solid">
        <fgColor theme="7"/>
        <bgColor indexed="64"/>
      </patternFill>
    </fill>
    <fill>
      <patternFill patternType="solid">
        <fgColor theme="7" tint="-0.249977111117893"/>
        <bgColor indexed="64"/>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23">
    <xf numFmtId="0" fontId="0" fillId="0" borderId="0" xfId="0"/>
    <xf numFmtId="14" fontId="0" fillId="0" borderId="0" xfId="0" applyNumberFormat="1"/>
    <xf numFmtId="0" fontId="0" fillId="2" borderId="0" xfId="0" applyFill="1"/>
    <xf numFmtId="0" fontId="1" fillId="0" borderId="0" xfId="0" applyFont="1" applyAlignment="1">
      <alignment horizontal="left" vertical="center" indent="1"/>
    </xf>
    <xf numFmtId="0" fontId="2" fillId="0" borderId="0" xfId="0" applyFont="1" applyAlignment="1">
      <alignment horizontal="left" vertical="center" indent="1"/>
    </xf>
    <xf numFmtId="0" fontId="0" fillId="0" borderId="0" xfId="0" applyAlignment="1">
      <alignment horizontal="left" vertical="center" indent="1"/>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0" fillId="3" borderId="0" xfId="0" applyFill="1"/>
    <xf numFmtId="14" fontId="0" fillId="3" borderId="0" xfId="0" applyNumberFormat="1" applyFill="1"/>
    <xf numFmtId="0" fontId="0" fillId="4" borderId="0" xfId="0" applyFill="1"/>
    <xf numFmtId="0" fontId="8" fillId="0" borderId="0" xfId="0" applyFont="1" applyAlignment="1">
      <alignment vertical="center"/>
    </xf>
    <xf numFmtId="0" fontId="9" fillId="0" borderId="0" xfId="1" applyAlignment="1">
      <alignment vertical="center"/>
    </xf>
    <xf numFmtId="0" fontId="0" fillId="5" borderId="0" xfId="0" applyFill="1"/>
    <xf numFmtId="14" fontId="0" fillId="6" borderId="0" xfId="0" applyNumberFormat="1" applyFill="1"/>
    <xf numFmtId="0" fontId="0" fillId="6" borderId="0" xfId="0" applyFill="1"/>
    <xf numFmtId="0" fontId="8" fillId="6" borderId="0" xfId="0" applyFont="1" applyFill="1" applyAlignment="1">
      <alignment vertical="center"/>
    </xf>
    <xf numFmtId="0" fontId="0" fillId="7" borderId="0" xfId="0" applyFill="1"/>
    <xf numFmtId="0" fontId="0" fillId="0" borderId="0" xfId="0" applyAlignment="1">
      <alignment horizontal="left"/>
    </xf>
    <xf numFmtId="14" fontId="0" fillId="5" borderId="0" xfId="0" applyNumberFormat="1" applyFill="1"/>
    <xf numFmtId="14" fontId="0" fillId="8" borderId="0" xfId="0" applyNumberFormat="1" applyFill="1"/>
    <xf numFmtId="0" fontId="0" fillId="8"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iepe.visualstudio.com/Siepe.Software/_workitems/edit/847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2"/>
  <sheetViews>
    <sheetView workbookViewId="0">
      <pane ySplit="1" topLeftCell="A2" activePane="bottomLeft" state="frozen"/>
      <selection pane="bottomLeft" activeCell="H102" sqref="B1:H102"/>
    </sheetView>
  </sheetViews>
  <sheetFormatPr defaultRowHeight="12.75" x14ac:dyDescent="0.2"/>
  <cols>
    <col min="1" max="1" width="14.5703125" style="9"/>
    <col min="2" max="2" width="9.140625" customWidth="1"/>
    <col min="3" max="3" width="38.42578125" style="9"/>
    <col min="4" max="4" width="9.140625" customWidth="1"/>
    <col min="5" max="5" width="57.7109375" customWidth="1"/>
    <col min="6" max="6" width="15.140625" style="9"/>
    <col min="7" max="7" width="12.140625"/>
    <col min="8" max="8" width="7.85546875" style="9"/>
    <col min="9" max="9" width="17.28515625"/>
    <col min="10" max="10" width="27.7109375" customWidth="1"/>
    <col min="11" max="11" width="23.140625" customWidth="1"/>
    <col min="12" max="12" width="21.42578125" bestFit="1" customWidth="1"/>
    <col min="13" max="13" width="23.28515625" bestFit="1" customWidth="1"/>
    <col min="14" max="14" width="14.140625" bestFit="1" customWidth="1"/>
    <col min="15" max="15" width="22.42578125" customWidth="1"/>
    <col min="16" max="16" width="23.7109375" customWidth="1"/>
    <col min="17" max="17" width="19.42578125" customWidth="1"/>
    <col min="18" max="18" width="25.5703125" customWidth="1"/>
    <col min="19" max="19" width="144" customWidth="1"/>
  </cols>
  <sheetData>
    <row r="1" spans="1:19" x14ac:dyDescent="0.2">
      <c r="A1" s="9" t="s">
        <v>0</v>
      </c>
      <c r="B1" t="s">
        <v>1</v>
      </c>
      <c r="C1" s="9" t="s">
        <v>2</v>
      </c>
      <c r="D1" t="s">
        <v>3</v>
      </c>
      <c r="E1" t="s">
        <v>4</v>
      </c>
      <c r="F1" s="9" t="s">
        <v>5</v>
      </c>
      <c r="G1" t="s">
        <v>6</v>
      </c>
      <c r="H1" s="9" t="s">
        <v>7</v>
      </c>
      <c r="I1" t="s">
        <v>8</v>
      </c>
      <c r="J1" s="2" t="s">
        <v>65</v>
      </c>
      <c r="K1" s="2" t="s">
        <v>67</v>
      </c>
      <c r="L1" s="2" t="s">
        <v>66</v>
      </c>
      <c r="M1" s="2" t="s">
        <v>95</v>
      </c>
      <c r="N1" s="11" t="s">
        <v>6</v>
      </c>
      <c r="O1" s="11" t="s">
        <v>92</v>
      </c>
      <c r="P1" s="11" t="s">
        <v>93</v>
      </c>
      <c r="Q1" s="11" t="s">
        <v>94</v>
      </c>
      <c r="R1" s="11" t="s">
        <v>90</v>
      </c>
    </row>
    <row r="2" spans="1:19" ht="16.5" x14ac:dyDescent="0.2">
      <c r="A2" s="21">
        <v>46188</v>
      </c>
      <c r="B2" s="1">
        <v>46188</v>
      </c>
      <c r="C2" s="9" t="s">
        <v>20</v>
      </c>
      <c r="D2">
        <v>2282</v>
      </c>
      <c r="E2" t="s">
        <v>13</v>
      </c>
      <c r="F2" s="9" t="s">
        <v>14</v>
      </c>
      <c r="G2" s="22">
        <v>100.227</v>
      </c>
      <c r="H2" s="9">
        <v>100.291</v>
      </c>
      <c r="I2" t="s">
        <v>12</v>
      </c>
      <c r="J2" t="s">
        <v>69</v>
      </c>
      <c r="K2" t="s">
        <v>69</v>
      </c>
      <c r="L2" t="s">
        <v>69</v>
      </c>
      <c r="M2" t="s">
        <v>68</v>
      </c>
      <c r="N2">
        <f t="shared" ref="N2:N6" si="0">+G2</f>
        <v>100.227</v>
      </c>
      <c r="O2">
        <v>100.291</v>
      </c>
      <c r="P2">
        <v>1.00227</v>
      </c>
      <c r="R2">
        <v>100.291</v>
      </c>
      <c r="S2" s="12"/>
    </row>
    <row r="3" spans="1:19" ht="16.5" x14ac:dyDescent="0.2">
      <c r="A3" s="20">
        <v>46188</v>
      </c>
      <c r="B3" s="1">
        <v>46188</v>
      </c>
      <c r="C3" s="9" t="s">
        <v>140</v>
      </c>
      <c r="D3">
        <v>2282</v>
      </c>
      <c r="E3" t="s">
        <v>13</v>
      </c>
      <c r="F3" s="9" t="s">
        <v>14</v>
      </c>
      <c r="G3" s="22">
        <v>100.227</v>
      </c>
      <c r="H3" s="9">
        <v>100.291</v>
      </c>
      <c r="I3" t="s">
        <v>12</v>
      </c>
      <c r="J3" t="s">
        <v>69</v>
      </c>
      <c r="K3" t="s">
        <v>69</v>
      </c>
      <c r="L3" t="s">
        <v>69</v>
      </c>
      <c r="M3" t="s">
        <v>68</v>
      </c>
      <c r="N3">
        <f t="shared" si="0"/>
        <v>100.227</v>
      </c>
      <c r="O3">
        <v>100.291</v>
      </c>
      <c r="P3">
        <v>1.00227</v>
      </c>
      <c r="R3">
        <v>100.291</v>
      </c>
      <c r="S3" s="12"/>
    </row>
    <row r="4" spans="1:19" ht="16.5" x14ac:dyDescent="0.2">
      <c r="A4" s="21">
        <v>46188</v>
      </c>
      <c r="B4" s="1">
        <v>46188</v>
      </c>
      <c r="C4" s="9" t="s">
        <v>15</v>
      </c>
      <c r="D4">
        <v>2282</v>
      </c>
      <c r="E4" t="s">
        <v>13</v>
      </c>
      <c r="F4" s="9" t="s">
        <v>14</v>
      </c>
      <c r="G4" s="22">
        <v>100.227</v>
      </c>
      <c r="H4" s="9">
        <v>100.291</v>
      </c>
      <c r="I4" t="s">
        <v>12</v>
      </c>
      <c r="J4" t="s">
        <v>69</v>
      </c>
      <c r="K4" t="s">
        <v>69</v>
      </c>
      <c r="L4" t="s">
        <v>69</v>
      </c>
      <c r="M4" t="s">
        <v>68</v>
      </c>
      <c r="N4">
        <f t="shared" si="0"/>
        <v>100.227</v>
      </c>
      <c r="O4">
        <v>100.291</v>
      </c>
      <c r="P4">
        <v>1.00227</v>
      </c>
      <c r="R4">
        <v>100.291</v>
      </c>
      <c r="S4" s="12"/>
    </row>
    <row r="5" spans="1:19" ht="16.5" x14ac:dyDescent="0.2">
      <c r="A5" s="20">
        <v>46188</v>
      </c>
      <c r="B5" s="1">
        <v>46188</v>
      </c>
      <c r="C5" s="9" t="s">
        <v>16</v>
      </c>
      <c r="D5">
        <v>2282</v>
      </c>
      <c r="E5" t="s">
        <v>13</v>
      </c>
      <c r="F5" s="9" t="s">
        <v>14</v>
      </c>
      <c r="G5" s="22">
        <v>100.227</v>
      </c>
      <c r="H5" s="9">
        <v>100.291</v>
      </c>
      <c r="I5" t="s">
        <v>12</v>
      </c>
      <c r="J5" t="s">
        <v>69</v>
      </c>
      <c r="K5" t="s">
        <v>69</v>
      </c>
      <c r="L5" t="s">
        <v>69</v>
      </c>
      <c r="M5" t="s">
        <v>68</v>
      </c>
      <c r="N5">
        <f t="shared" si="0"/>
        <v>100.227</v>
      </c>
      <c r="O5">
        <v>100.291</v>
      </c>
      <c r="P5">
        <v>1.00227</v>
      </c>
      <c r="R5">
        <v>100.291</v>
      </c>
      <c r="S5" s="12"/>
    </row>
    <row r="6" spans="1:19" ht="16.5" x14ac:dyDescent="0.2">
      <c r="A6" s="21">
        <v>46188</v>
      </c>
      <c r="B6" s="1">
        <v>46188</v>
      </c>
      <c r="C6" s="9" t="s">
        <v>19</v>
      </c>
      <c r="D6">
        <v>2282</v>
      </c>
      <c r="E6" t="s">
        <v>13</v>
      </c>
      <c r="F6" s="9" t="s">
        <v>14</v>
      </c>
      <c r="G6" s="22">
        <v>100.227</v>
      </c>
      <c r="H6" s="9">
        <v>100.291</v>
      </c>
      <c r="I6" t="s">
        <v>12</v>
      </c>
      <c r="J6" t="s">
        <v>69</v>
      </c>
      <c r="K6" t="s">
        <v>69</v>
      </c>
      <c r="L6" t="s">
        <v>69</v>
      </c>
      <c r="M6" t="s">
        <v>68</v>
      </c>
      <c r="N6">
        <f t="shared" si="0"/>
        <v>100.227</v>
      </c>
      <c r="O6">
        <v>100.291</v>
      </c>
      <c r="P6">
        <v>1.00227</v>
      </c>
      <c r="R6">
        <v>100.291</v>
      </c>
      <c r="S6" s="12"/>
    </row>
    <row r="7" spans="1:19" ht="16.5" x14ac:dyDescent="0.2">
      <c r="A7" s="21">
        <v>46188</v>
      </c>
      <c r="B7" s="1">
        <v>46188</v>
      </c>
      <c r="C7" s="9" t="s">
        <v>17</v>
      </c>
      <c r="D7">
        <v>2282</v>
      </c>
      <c r="E7" t="s">
        <v>13</v>
      </c>
      <c r="F7" s="9" t="s">
        <v>14</v>
      </c>
      <c r="G7" s="22">
        <v>100.227</v>
      </c>
      <c r="H7" s="9">
        <v>100.291</v>
      </c>
      <c r="I7" t="s">
        <v>12</v>
      </c>
      <c r="J7" t="s">
        <v>69</v>
      </c>
      <c r="K7" t="s">
        <v>69</v>
      </c>
      <c r="L7" t="s">
        <v>69</v>
      </c>
      <c r="M7" t="s">
        <v>68</v>
      </c>
      <c r="N7">
        <f t="shared" ref="N7:N38" si="1">+G7</f>
        <v>100.227</v>
      </c>
      <c r="O7">
        <v>100.291</v>
      </c>
      <c r="P7">
        <v>1.00227</v>
      </c>
      <c r="R7">
        <v>100.291</v>
      </c>
      <c r="S7" s="12"/>
    </row>
    <row r="8" spans="1:19" ht="16.5" x14ac:dyDescent="0.2">
      <c r="A8" s="21">
        <v>46188</v>
      </c>
      <c r="B8" s="1">
        <v>46188</v>
      </c>
      <c r="C8" s="9" t="s">
        <v>18</v>
      </c>
      <c r="D8">
        <v>2282</v>
      </c>
      <c r="E8" t="s">
        <v>13</v>
      </c>
      <c r="F8" s="9" t="s">
        <v>14</v>
      </c>
      <c r="G8" s="22">
        <v>100.227</v>
      </c>
      <c r="H8" s="9">
        <v>100.291</v>
      </c>
      <c r="I8" t="s">
        <v>12</v>
      </c>
      <c r="J8" t="s">
        <v>69</v>
      </c>
      <c r="K8" t="s">
        <v>69</v>
      </c>
      <c r="L8" t="s">
        <v>69</v>
      </c>
      <c r="M8" t="s">
        <v>68</v>
      </c>
      <c r="N8">
        <f t="shared" si="1"/>
        <v>100.227</v>
      </c>
      <c r="O8">
        <v>100.291</v>
      </c>
      <c r="P8">
        <v>1.00227</v>
      </c>
      <c r="R8">
        <v>100.291</v>
      </c>
      <c r="S8" s="12"/>
    </row>
    <row r="9" spans="1:19" ht="16.5" x14ac:dyDescent="0.2">
      <c r="A9" s="21">
        <v>46188</v>
      </c>
      <c r="B9" s="1">
        <v>46188</v>
      </c>
      <c r="C9" s="9" t="s">
        <v>20</v>
      </c>
      <c r="D9">
        <v>482</v>
      </c>
      <c r="E9" t="s">
        <v>10</v>
      </c>
      <c r="F9" s="9" t="s">
        <v>11</v>
      </c>
      <c r="G9" s="22">
        <v>100</v>
      </c>
      <c r="H9" s="9">
        <v>99.924999999999997</v>
      </c>
      <c r="I9" t="s">
        <v>12</v>
      </c>
      <c r="J9" t="s">
        <v>69</v>
      </c>
      <c r="K9" t="s">
        <v>69</v>
      </c>
      <c r="L9" t="s">
        <v>69</v>
      </c>
      <c r="M9" t="s">
        <v>68</v>
      </c>
      <c r="N9">
        <f t="shared" si="1"/>
        <v>100</v>
      </c>
      <c r="O9">
        <v>99.924999999999997</v>
      </c>
      <c r="P9">
        <v>1</v>
      </c>
      <c r="R9">
        <v>99.924999999999997</v>
      </c>
      <c r="S9" s="12"/>
    </row>
    <row r="10" spans="1:19" ht="16.5" x14ac:dyDescent="0.2">
      <c r="A10" s="20">
        <v>46188</v>
      </c>
      <c r="B10" s="1">
        <v>46188</v>
      </c>
      <c r="C10" s="9" t="s">
        <v>140</v>
      </c>
      <c r="D10">
        <v>482</v>
      </c>
      <c r="E10" t="s">
        <v>10</v>
      </c>
      <c r="F10" s="9" t="s">
        <v>11</v>
      </c>
      <c r="G10" s="22">
        <v>100</v>
      </c>
      <c r="H10" s="9">
        <v>99.924999999999997</v>
      </c>
      <c r="I10" t="s">
        <v>12</v>
      </c>
      <c r="J10" t="s">
        <v>69</v>
      </c>
      <c r="K10" t="s">
        <v>69</v>
      </c>
      <c r="L10" t="s">
        <v>69</v>
      </c>
      <c r="M10" t="s">
        <v>68</v>
      </c>
      <c r="N10">
        <f t="shared" si="1"/>
        <v>100</v>
      </c>
      <c r="O10">
        <v>99.924999999999997</v>
      </c>
      <c r="P10">
        <v>1</v>
      </c>
      <c r="R10">
        <v>99.924999999999997</v>
      </c>
      <c r="S10" s="12"/>
    </row>
    <row r="11" spans="1:19" ht="16.5" x14ac:dyDescent="0.2">
      <c r="A11" s="21">
        <v>46188</v>
      </c>
      <c r="B11" s="1">
        <v>46188</v>
      </c>
      <c r="C11" s="9" t="s">
        <v>15</v>
      </c>
      <c r="D11">
        <v>482</v>
      </c>
      <c r="E11" t="s">
        <v>10</v>
      </c>
      <c r="F11" s="9" t="s">
        <v>11</v>
      </c>
      <c r="G11" s="22">
        <v>100</v>
      </c>
      <c r="H11" s="9">
        <v>99.924999999999997</v>
      </c>
      <c r="I11" t="s">
        <v>12</v>
      </c>
      <c r="J11" t="s">
        <v>69</v>
      </c>
      <c r="K11" t="s">
        <v>69</v>
      </c>
      <c r="L11" t="s">
        <v>69</v>
      </c>
      <c r="M11" t="s">
        <v>68</v>
      </c>
      <c r="N11">
        <f t="shared" si="1"/>
        <v>100</v>
      </c>
      <c r="O11">
        <v>99.924999999999997</v>
      </c>
      <c r="P11">
        <v>1</v>
      </c>
      <c r="R11">
        <v>99.924999999999997</v>
      </c>
      <c r="S11" s="12"/>
    </row>
    <row r="12" spans="1:19" ht="16.5" x14ac:dyDescent="0.2">
      <c r="A12" s="20">
        <v>46188</v>
      </c>
      <c r="B12" s="1">
        <v>46188</v>
      </c>
      <c r="C12" s="9" t="s">
        <v>16</v>
      </c>
      <c r="D12">
        <v>482</v>
      </c>
      <c r="E12" t="s">
        <v>10</v>
      </c>
      <c r="F12" s="9" t="s">
        <v>11</v>
      </c>
      <c r="G12" s="22">
        <v>100</v>
      </c>
      <c r="H12" s="9">
        <v>99.924999999999997</v>
      </c>
      <c r="I12" t="s">
        <v>12</v>
      </c>
      <c r="J12" t="s">
        <v>69</v>
      </c>
      <c r="K12" t="s">
        <v>69</v>
      </c>
      <c r="L12" t="s">
        <v>69</v>
      </c>
      <c r="M12" t="s">
        <v>68</v>
      </c>
      <c r="N12">
        <f t="shared" si="1"/>
        <v>100</v>
      </c>
      <c r="O12">
        <v>99.924999999999997</v>
      </c>
      <c r="P12">
        <v>1</v>
      </c>
      <c r="R12">
        <v>99.924999999999997</v>
      </c>
      <c r="S12" s="12"/>
    </row>
    <row r="13" spans="1:19" ht="16.5" x14ac:dyDescent="0.2">
      <c r="A13" s="21">
        <v>46188</v>
      </c>
      <c r="B13" s="1">
        <v>46188</v>
      </c>
      <c r="C13" s="9" t="s">
        <v>19</v>
      </c>
      <c r="D13">
        <v>482</v>
      </c>
      <c r="E13" t="s">
        <v>10</v>
      </c>
      <c r="F13" s="9" t="s">
        <v>11</v>
      </c>
      <c r="G13" s="22">
        <v>100</v>
      </c>
      <c r="H13" s="9">
        <v>99.924999999999997</v>
      </c>
      <c r="I13" t="s">
        <v>12</v>
      </c>
      <c r="J13" t="s">
        <v>69</v>
      </c>
      <c r="K13" t="s">
        <v>69</v>
      </c>
      <c r="L13" t="s">
        <v>69</v>
      </c>
      <c r="M13" t="s">
        <v>68</v>
      </c>
      <c r="N13">
        <f t="shared" si="1"/>
        <v>100</v>
      </c>
      <c r="O13">
        <v>99.924999999999997</v>
      </c>
      <c r="P13">
        <v>1</v>
      </c>
      <c r="R13">
        <v>99.924999999999997</v>
      </c>
      <c r="S13" s="12"/>
    </row>
    <row r="14" spans="1:19" ht="16.5" x14ac:dyDescent="0.2">
      <c r="A14" s="21">
        <v>46188</v>
      </c>
      <c r="B14" s="1">
        <v>46188</v>
      </c>
      <c r="C14" s="9" t="s">
        <v>17</v>
      </c>
      <c r="D14">
        <v>482</v>
      </c>
      <c r="E14" t="s">
        <v>10</v>
      </c>
      <c r="F14" s="9" t="s">
        <v>11</v>
      </c>
      <c r="G14" s="22">
        <v>100</v>
      </c>
      <c r="H14" s="9">
        <v>99.924999999999997</v>
      </c>
      <c r="I14" t="s">
        <v>12</v>
      </c>
      <c r="J14" t="s">
        <v>69</v>
      </c>
      <c r="K14" t="s">
        <v>69</v>
      </c>
      <c r="L14" t="s">
        <v>69</v>
      </c>
      <c r="M14" t="s">
        <v>68</v>
      </c>
      <c r="N14">
        <f t="shared" si="1"/>
        <v>100</v>
      </c>
      <c r="O14">
        <v>99.924999999999997</v>
      </c>
      <c r="P14">
        <v>1</v>
      </c>
      <c r="R14">
        <v>99.924999999999997</v>
      </c>
      <c r="S14" s="12"/>
    </row>
    <row r="15" spans="1:19" ht="16.5" x14ac:dyDescent="0.2">
      <c r="A15" s="21">
        <v>46188</v>
      </c>
      <c r="B15" s="1">
        <v>46188</v>
      </c>
      <c r="C15" s="9" t="s">
        <v>18</v>
      </c>
      <c r="D15">
        <v>482</v>
      </c>
      <c r="E15" t="s">
        <v>10</v>
      </c>
      <c r="F15" s="9" t="s">
        <v>11</v>
      </c>
      <c r="G15" s="22">
        <v>100</v>
      </c>
      <c r="H15" s="9">
        <v>99.924999999999997</v>
      </c>
      <c r="I15" t="s">
        <v>12</v>
      </c>
      <c r="J15" t="s">
        <v>69</v>
      </c>
      <c r="K15" t="s">
        <v>69</v>
      </c>
      <c r="L15" t="s">
        <v>69</v>
      </c>
      <c r="M15" t="s">
        <v>68</v>
      </c>
      <c r="N15">
        <f t="shared" si="1"/>
        <v>100</v>
      </c>
      <c r="O15">
        <v>99.924999999999997</v>
      </c>
      <c r="P15">
        <v>1</v>
      </c>
      <c r="R15">
        <v>99.924999999999997</v>
      </c>
      <c r="S15" s="12"/>
    </row>
    <row r="16" spans="1:19" ht="16.5" x14ac:dyDescent="0.2">
      <c r="A16" s="21">
        <v>46189</v>
      </c>
      <c r="B16" s="1">
        <v>46189</v>
      </c>
      <c r="C16" s="9" t="s">
        <v>20</v>
      </c>
      <c r="D16">
        <v>2282</v>
      </c>
      <c r="E16" t="s">
        <v>13</v>
      </c>
      <c r="F16" s="9" t="s">
        <v>14</v>
      </c>
      <c r="G16">
        <v>100.227</v>
      </c>
      <c r="H16" s="9">
        <v>100.25</v>
      </c>
      <c r="I16" t="s">
        <v>12</v>
      </c>
      <c r="J16" t="s">
        <v>69</v>
      </c>
      <c r="K16" t="s">
        <v>69</v>
      </c>
      <c r="L16" t="s">
        <v>69</v>
      </c>
      <c r="M16" t="s">
        <v>68</v>
      </c>
      <c r="N16">
        <f t="shared" si="1"/>
        <v>100.227</v>
      </c>
      <c r="O16">
        <v>100.25</v>
      </c>
      <c r="P16">
        <v>1.00227</v>
      </c>
      <c r="R16">
        <v>100.25</v>
      </c>
      <c r="S16" s="12"/>
    </row>
    <row r="17" spans="1:19" ht="16.5" x14ac:dyDescent="0.2">
      <c r="A17" s="20">
        <v>46189</v>
      </c>
      <c r="B17" s="1">
        <v>46189</v>
      </c>
      <c r="C17" s="9" t="s">
        <v>140</v>
      </c>
      <c r="D17">
        <v>2282</v>
      </c>
      <c r="E17" t="s">
        <v>13</v>
      </c>
      <c r="F17" s="9" t="s">
        <v>14</v>
      </c>
      <c r="G17">
        <v>100.227</v>
      </c>
      <c r="H17" s="9">
        <v>100.25</v>
      </c>
      <c r="I17" t="s">
        <v>12</v>
      </c>
      <c r="J17" t="s">
        <v>69</v>
      </c>
      <c r="K17" t="s">
        <v>69</v>
      </c>
      <c r="L17" t="s">
        <v>69</v>
      </c>
      <c r="M17" t="s">
        <v>68</v>
      </c>
      <c r="N17">
        <f t="shared" si="1"/>
        <v>100.227</v>
      </c>
      <c r="O17">
        <v>100.25</v>
      </c>
      <c r="P17">
        <v>1.00227</v>
      </c>
      <c r="R17">
        <v>100.25</v>
      </c>
      <c r="S17" s="12"/>
    </row>
    <row r="18" spans="1:19" ht="16.5" x14ac:dyDescent="0.2">
      <c r="A18" s="21">
        <v>46189</v>
      </c>
      <c r="B18" s="1">
        <v>46189</v>
      </c>
      <c r="C18" s="9" t="s">
        <v>15</v>
      </c>
      <c r="D18">
        <v>2282</v>
      </c>
      <c r="E18" t="s">
        <v>13</v>
      </c>
      <c r="F18" s="9" t="s">
        <v>14</v>
      </c>
      <c r="G18">
        <v>100.227</v>
      </c>
      <c r="H18" s="9">
        <v>100.25</v>
      </c>
      <c r="I18" t="s">
        <v>12</v>
      </c>
      <c r="J18" t="s">
        <v>69</v>
      </c>
      <c r="K18" t="s">
        <v>69</v>
      </c>
      <c r="L18" t="s">
        <v>69</v>
      </c>
      <c r="M18" t="s">
        <v>68</v>
      </c>
      <c r="N18">
        <f t="shared" si="1"/>
        <v>100.227</v>
      </c>
      <c r="O18">
        <v>100.25</v>
      </c>
      <c r="P18">
        <v>1.00227</v>
      </c>
      <c r="R18">
        <v>100.25</v>
      </c>
      <c r="S18" s="12"/>
    </row>
    <row r="19" spans="1:19" ht="16.5" x14ac:dyDescent="0.2">
      <c r="A19" s="20">
        <v>46189</v>
      </c>
      <c r="B19" s="1">
        <v>46189</v>
      </c>
      <c r="C19" s="9" t="s">
        <v>16</v>
      </c>
      <c r="D19">
        <v>2282</v>
      </c>
      <c r="E19" t="s">
        <v>13</v>
      </c>
      <c r="F19" s="9" t="s">
        <v>14</v>
      </c>
      <c r="G19">
        <v>100.227</v>
      </c>
      <c r="H19" s="9">
        <v>100.25</v>
      </c>
      <c r="I19" t="s">
        <v>12</v>
      </c>
      <c r="J19" t="s">
        <v>69</v>
      </c>
      <c r="K19" t="s">
        <v>69</v>
      </c>
      <c r="L19" t="s">
        <v>69</v>
      </c>
      <c r="M19" t="s">
        <v>68</v>
      </c>
      <c r="N19">
        <f t="shared" si="1"/>
        <v>100.227</v>
      </c>
      <c r="O19">
        <v>100.25</v>
      </c>
      <c r="P19">
        <v>1.00227</v>
      </c>
      <c r="R19">
        <v>100.25</v>
      </c>
      <c r="S19" s="12"/>
    </row>
    <row r="20" spans="1:19" ht="16.5" x14ac:dyDescent="0.2">
      <c r="A20" s="21">
        <v>46189</v>
      </c>
      <c r="B20" s="1">
        <v>46189</v>
      </c>
      <c r="C20" s="9" t="s">
        <v>19</v>
      </c>
      <c r="D20">
        <v>2282</v>
      </c>
      <c r="E20" t="s">
        <v>13</v>
      </c>
      <c r="F20" s="9" t="s">
        <v>14</v>
      </c>
      <c r="G20">
        <v>100.227</v>
      </c>
      <c r="H20" s="9">
        <v>100.25</v>
      </c>
      <c r="I20" t="s">
        <v>12</v>
      </c>
      <c r="J20" t="s">
        <v>69</v>
      </c>
      <c r="K20" t="s">
        <v>69</v>
      </c>
      <c r="L20" t="s">
        <v>69</v>
      </c>
      <c r="M20" t="s">
        <v>68</v>
      </c>
      <c r="N20">
        <f t="shared" si="1"/>
        <v>100.227</v>
      </c>
      <c r="O20">
        <v>100.25</v>
      </c>
      <c r="P20">
        <v>1.00227</v>
      </c>
      <c r="R20">
        <v>100.25</v>
      </c>
      <c r="S20" s="12"/>
    </row>
    <row r="21" spans="1:19" ht="16.5" x14ac:dyDescent="0.2">
      <c r="A21" s="21">
        <v>46189</v>
      </c>
      <c r="B21" s="1">
        <v>46189</v>
      </c>
      <c r="C21" s="9" t="s">
        <v>17</v>
      </c>
      <c r="D21">
        <v>2282</v>
      </c>
      <c r="E21" t="s">
        <v>13</v>
      </c>
      <c r="F21" s="9" t="s">
        <v>14</v>
      </c>
      <c r="G21">
        <v>100.227</v>
      </c>
      <c r="H21" s="9">
        <v>100.25</v>
      </c>
      <c r="I21" t="s">
        <v>12</v>
      </c>
      <c r="J21" t="s">
        <v>69</v>
      </c>
      <c r="K21" t="s">
        <v>69</v>
      </c>
      <c r="L21" t="s">
        <v>69</v>
      </c>
      <c r="M21" t="s">
        <v>68</v>
      </c>
      <c r="N21">
        <f t="shared" si="1"/>
        <v>100.227</v>
      </c>
      <c r="O21">
        <v>100.25</v>
      </c>
      <c r="P21">
        <v>1.00227</v>
      </c>
      <c r="R21">
        <v>100.25</v>
      </c>
      <c r="S21" s="12"/>
    </row>
    <row r="22" spans="1:19" ht="16.5" x14ac:dyDescent="0.2">
      <c r="A22" s="21">
        <v>46189</v>
      </c>
      <c r="B22" s="1">
        <v>46189</v>
      </c>
      <c r="C22" s="9" t="s">
        <v>18</v>
      </c>
      <c r="D22">
        <v>2282</v>
      </c>
      <c r="E22" t="s">
        <v>13</v>
      </c>
      <c r="F22" s="9" t="s">
        <v>14</v>
      </c>
      <c r="G22">
        <v>100.227</v>
      </c>
      <c r="H22" s="9">
        <v>100.25</v>
      </c>
      <c r="I22" t="s">
        <v>12</v>
      </c>
      <c r="J22" t="s">
        <v>69</v>
      </c>
      <c r="K22" t="s">
        <v>69</v>
      </c>
      <c r="L22" t="s">
        <v>69</v>
      </c>
      <c r="M22" t="s">
        <v>68</v>
      </c>
      <c r="N22">
        <f t="shared" si="1"/>
        <v>100.227</v>
      </c>
      <c r="O22">
        <v>100.25</v>
      </c>
      <c r="P22">
        <v>1.00227</v>
      </c>
      <c r="R22">
        <v>100.25</v>
      </c>
      <c r="S22" s="12"/>
    </row>
    <row r="23" spans="1:19" ht="16.5" x14ac:dyDescent="0.2">
      <c r="A23" s="21">
        <v>46189</v>
      </c>
      <c r="B23" s="1">
        <v>46189</v>
      </c>
      <c r="C23" s="9" t="s">
        <v>20</v>
      </c>
      <c r="D23">
        <v>482</v>
      </c>
      <c r="E23" t="s">
        <v>10</v>
      </c>
      <c r="F23" s="9" t="s">
        <v>11</v>
      </c>
      <c r="G23">
        <v>100</v>
      </c>
      <c r="H23" s="9">
        <v>99.92</v>
      </c>
      <c r="I23" t="s">
        <v>12</v>
      </c>
      <c r="J23" t="s">
        <v>69</v>
      </c>
      <c r="K23" t="s">
        <v>69</v>
      </c>
      <c r="L23" t="s">
        <v>69</v>
      </c>
      <c r="M23" t="s">
        <v>68</v>
      </c>
      <c r="N23">
        <f t="shared" si="1"/>
        <v>100</v>
      </c>
      <c r="O23">
        <v>99.92</v>
      </c>
      <c r="P23">
        <v>1</v>
      </c>
      <c r="R23">
        <v>99.92</v>
      </c>
      <c r="S23" s="12"/>
    </row>
    <row r="24" spans="1:19" ht="16.5" x14ac:dyDescent="0.2">
      <c r="A24" s="20">
        <v>46189</v>
      </c>
      <c r="B24" s="1">
        <v>46189</v>
      </c>
      <c r="C24" s="9" t="s">
        <v>140</v>
      </c>
      <c r="D24">
        <v>482</v>
      </c>
      <c r="E24" t="s">
        <v>10</v>
      </c>
      <c r="F24" s="9" t="s">
        <v>11</v>
      </c>
      <c r="G24">
        <v>100</v>
      </c>
      <c r="H24" s="9">
        <v>99.92</v>
      </c>
      <c r="I24" t="s">
        <v>12</v>
      </c>
      <c r="J24" t="s">
        <v>69</v>
      </c>
      <c r="K24" t="s">
        <v>69</v>
      </c>
      <c r="L24" t="s">
        <v>69</v>
      </c>
      <c r="M24" t="s">
        <v>68</v>
      </c>
      <c r="N24">
        <f t="shared" si="1"/>
        <v>100</v>
      </c>
      <c r="O24">
        <v>99.92</v>
      </c>
      <c r="P24">
        <v>1</v>
      </c>
      <c r="R24">
        <v>99.92</v>
      </c>
      <c r="S24" s="12"/>
    </row>
    <row r="25" spans="1:19" ht="16.5" x14ac:dyDescent="0.2">
      <c r="A25" s="21">
        <v>46189</v>
      </c>
      <c r="B25" s="1">
        <v>46189</v>
      </c>
      <c r="C25" s="9" t="s">
        <v>15</v>
      </c>
      <c r="D25">
        <v>482</v>
      </c>
      <c r="E25" t="s">
        <v>10</v>
      </c>
      <c r="F25" s="9" t="s">
        <v>11</v>
      </c>
      <c r="G25">
        <v>100</v>
      </c>
      <c r="H25" s="9">
        <v>99.92</v>
      </c>
      <c r="I25" t="s">
        <v>12</v>
      </c>
      <c r="J25" t="s">
        <v>69</v>
      </c>
      <c r="K25" t="s">
        <v>69</v>
      </c>
      <c r="L25" t="s">
        <v>69</v>
      </c>
      <c r="M25" t="s">
        <v>68</v>
      </c>
      <c r="N25">
        <f t="shared" si="1"/>
        <v>100</v>
      </c>
      <c r="O25">
        <v>99.92</v>
      </c>
      <c r="P25">
        <v>1</v>
      </c>
      <c r="R25">
        <v>99.92</v>
      </c>
      <c r="S25" s="12"/>
    </row>
    <row r="26" spans="1:19" ht="16.5" x14ac:dyDescent="0.2">
      <c r="A26" s="20">
        <v>46189</v>
      </c>
      <c r="B26" s="1">
        <v>46189</v>
      </c>
      <c r="C26" s="9" t="s">
        <v>16</v>
      </c>
      <c r="D26">
        <v>482</v>
      </c>
      <c r="E26" t="s">
        <v>10</v>
      </c>
      <c r="F26" s="9" t="s">
        <v>11</v>
      </c>
      <c r="G26">
        <v>100</v>
      </c>
      <c r="H26" s="9">
        <v>99.92</v>
      </c>
      <c r="I26" t="s">
        <v>12</v>
      </c>
      <c r="J26" t="s">
        <v>69</v>
      </c>
      <c r="K26" t="s">
        <v>69</v>
      </c>
      <c r="L26" t="s">
        <v>69</v>
      </c>
      <c r="M26" t="s">
        <v>68</v>
      </c>
      <c r="N26">
        <f t="shared" si="1"/>
        <v>100</v>
      </c>
      <c r="O26">
        <v>99.92</v>
      </c>
      <c r="P26">
        <v>1</v>
      </c>
      <c r="R26">
        <v>99.92</v>
      </c>
      <c r="S26" s="12"/>
    </row>
    <row r="27" spans="1:19" ht="16.5" x14ac:dyDescent="0.2">
      <c r="A27" s="21">
        <v>46189</v>
      </c>
      <c r="B27" s="1">
        <v>46189</v>
      </c>
      <c r="C27" s="9" t="s">
        <v>19</v>
      </c>
      <c r="D27">
        <v>482</v>
      </c>
      <c r="E27" t="s">
        <v>10</v>
      </c>
      <c r="F27" s="9" t="s">
        <v>11</v>
      </c>
      <c r="G27">
        <v>100</v>
      </c>
      <c r="H27" s="9">
        <v>99.92</v>
      </c>
      <c r="I27" t="s">
        <v>12</v>
      </c>
      <c r="J27" t="s">
        <v>69</v>
      </c>
      <c r="K27" t="s">
        <v>69</v>
      </c>
      <c r="L27" t="s">
        <v>69</v>
      </c>
      <c r="M27" t="s">
        <v>68</v>
      </c>
      <c r="N27">
        <f t="shared" si="1"/>
        <v>100</v>
      </c>
      <c r="O27">
        <v>99.92</v>
      </c>
      <c r="P27">
        <v>1</v>
      </c>
      <c r="R27">
        <v>99.92</v>
      </c>
      <c r="S27" s="12"/>
    </row>
    <row r="28" spans="1:19" ht="16.5" x14ac:dyDescent="0.2">
      <c r="A28" s="21">
        <v>46189</v>
      </c>
      <c r="B28" s="1">
        <v>46189</v>
      </c>
      <c r="C28" s="9" t="s">
        <v>17</v>
      </c>
      <c r="D28">
        <v>482</v>
      </c>
      <c r="E28" t="s">
        <v>10</v>
      </c>
      <c r="F28" s="9" t="s">
        <v>11</v>
      </c>
      <c r="G28">
        <v>100</v>
      </c>
      <c r="H28" s="9">
        <v>99.92</v>
      </c>
      <c r="I28" t="s">
        <v>12</v>
      </c>
      <c r="J28" t="s">
        <v>69</v>
      </c>
      <c r="K28" t="s">
        <v>69</v>
      </c>
      <c r="L28" t="s">
        <v>69</v>
      </c>
      <c r="M28" t="s">
        <v>68</v>
      </c>
      <c r="N28">
        <f t="shared" si="1"/>
        <v>100</v>
      </c>
      <c r="O28">
        <v>99.92</v>
      </c>
      <c r="P28">
        <v>1</v>
      </c>
      <c r="R28">
        <v>99.92</v>
      </c>
      <c r="S28" s="12"/>
    </row>
    <row r="29" spans="1:19" ht="16.5" x14ac:dyDescent="0.2">
      <c r="A29" s="21">
        <v>46189</v>
      </c>
      <c r="B29" s="1">
        <v>46189</v>
      </c>
      <c r="C29" s="9" t="s">
        <v>18</v>
      </c>
      <c r="D29">
        <v>482</v>
      </c>
      <c r="E29" t="s">
        <v>10</v>
      </c>
      <c r="F29" s="9" t="s">
        <v>11</v>
      </c>
      <c r="G29">
        <v>100</v>
      </c>
      <c r="H29" s="9">
        <v>99.92</v>
      </c>
      <c r="I29" t="s">
        <v>12</v>
      </c>
      <c r="J29" t="s">
        <v>69</v>
      </c>
      <c r="K29" t="s">
        <v>69</v>
      </c>
      <c r="L29" t="s">
        <v>69</v>
      </c>
      <c r="M29" t="s">
        <v>68</v>
      </c>
      <c r="N29">
        <f t="shared" si="1"/>
        <v>100</v>
      </c>
      <c r="O29">
        <v>99.92</v>
      </c>
      <c r="P29">
        <v>1</v>
      </c>
      <c r="R29">
        <v>99.92</v>
      </c>
      <c r="S29" s="12"/>
    </row>
    <row r="30" spans="1:19" x14ac:dyDescent="0.2">
      <c r="A30" s="21">
        <v>46192</v>
      </c>
      <c r="B30" s="1">
        <v>46191</v>
      </c>
      <c r="C30" s="9" t="s">
        <v>20</v>
      </c>
      <c r="D30">
        <v>801</v>
      </c>
      <c r="E30" t="s">
        <v>27</v>
      </c>
      <c r="F30" s="9" t="s">
        <v>28</v>
      </c>
      <c r="G30">
        <v>100.511</v>
      </c>
      <c r="H30" s="9">
        <v>100.408</v>
      </c>
      <c r="I30" t="s">
        <v>12</v>
      </c>
      <c r="J30" t="s">
        <v>69</v>
      </c>
      <c r="K30" t="s">
        <v>68</v>
      </c>
      <c r="L30" t="s">
        <v>69</v>
      </c>
      <c r="M30" t="s">
        <v>68</v>
      </c>
      <c r="N30">
        <f t="shared" si="1"/>
        <v>100.511</v>
      </c>
      <c r="O30">
        <v>100.511</v>
      </c>
      <c r="P30">
        <v>1.0051099999999999</v>
      </c>
      <c r="R30">
        <v>100.511</v>
      </c>
    </row>
    <row r="31" spans="1:19" x14ac:dyDescent="0.2">
      <c r="A31" s="20">
        <v>46192</v>
      </c>
      <c r="B31" s="1">
        <v>46191</v>
      </c>
      <c r="C31" s="9" t="s">
        <v>140</v>
      </c>
      <c r="D31">
        <v>801</v>
      </c>
      <c r="E31" t="s">
        <v>27</v>
      </c>
      <c r="F31" s="9" t="s">
        <v>28</v>
      </c>
      <c r="G31">
        <v>100.511</v>
      </c>
      <c r="H31" s="9">
        <v>100.408</v>
      </c>
      <c r="I31" t="s">
        <v>12</v>
      </c>
      <c r="J31" t="s">
        <v>69</v>
      </c>
      <c r="K31" t="s">
        <v>68</v>
      </c>
      <c r="L31" t="s">
        <v>69</v>
      </c>
      <c r="M31" t="s">
        <v>68</v>
      </c>
      <c r="N31">
        <f t="shared" si="1"/>
        <v>100.511</v>
      </c>
      <c r="O31">
        <v>100.511</v>
      </c>
      <c r="P31">
        <v>1.0051099999999999</v>
      </c>
      <c r="R31">
        <v>100.511</v>
      </c>
    </row>
    <row r="32" spans="1:19" x14ac:dyDescent="0.2">
      <c r="A32" s="21">
        <v>46192</v>
      </c>
      <c r="B32" s="1">
        <v>46191</v>
      </c>
      <c r="C32" s="9" t="s">
        <v>15</v>
      </c>
      <c r="D32">
        <v>801</v>
      </c>
      <c r="E32" t="s">
        <v>27</v>
      </c>
      <c r="F32" s="9" t="s">
        <v>28</v>
      </c>
      <c r="G32">
        <v>100.511</v>
      </c>
      <c r="H32" s="9">
        <v>100.408</v>
      </c>
      <c r="I32" t="s">
        <v>12</v>
      </c>
      <c r="J32" t="s">
        <v>69</v>
      </c>
      <c r="K32" t="s">
        <v>68</v>
      </c>
      <c r="L32" t="s">
        <v>69</v>
      </c>
      <c r="M32" t="s">
        <v>68</v>
      </c>
      <c r="N32">
        <f t="shared" si="1"/>
        <v>100.511</v>
      </c>
      <c r="O32">
        <v>100.511</v>
      </c>
      <c r="P32">
        <v>1.0051099999999999</v>
      </c>
      <c r="R32">
        <v>100.511</v>
      </c>
    </row>
    <row r="33" spans="1:18" x14ac:dyDescent="0.2">
      <c r="A33" s="20">
        <v>46192</v>
      </c>
      <c r="B33" s="1">
        <v>46191</v>
      </c>
      <c r="C33" s="9" t="s">
        <v>16</v>
      </c>
      <c r="D33">
        <v>801</v>
      </c>
      <c r="E33" t="s">
        <v>27</v>
      </c>
      <c r="F33" s="9" t="s">
        <v>28</v>
      </c>
      <c r="G33">
        <v>100.511</v>
      </c>
      <c r="H33" s="9">
        <v>100.408</v>
      </c>
      <c r="I33" t="s">
        <v>12</v>
      </c>
      <c r="J33" t="s">
        <v>69</v>
      </c>
      <c r="K33" t="s">
        <v>68</v>
      </c>
      <c r="L33" t="s">
        <v>69</v>
      </c>
      <c r="M33" t="s">
        <v>68</v>
      </c>
      <c r="N33">
        <f t="shared" si="1"/>
        <v>100.511</v>
      </c>
      <c r="O33">
        <v>100.511</v>
      </c>
      <c r="P33">
        <v>1.0051099999999999</v>
      </c>
      <c r="R33">
        <v>100.511</v>
      </c>
    </row>
    <row r="34" spans="1:18" x14ac:dyDescent="0.2">
      <c r="A34" s="21">
        <v>46192</v>
      </c>
      <c r="B34" s="1">
        <v>46191</v>
      </c>
      <c r="C34" s="9" t="s">
        <v>19</v>
      </c>
      <c r="D34">
        <v>801</v>
      </c>
      <c r="E34" t="s">
        <v>27</v>
      </c>
      <c r="F34" s="9" t="s">
        <v>28</v>
      </c>
      <c r="G34">
        <v>100.511</v>
      </c>
      <c r="H34" s="9">
        <v>100.408</v>
      </c>
      <c r="I34" t="s">
        <v>12</v>
      </c>
      <c r="J34" t="s">
        <v>69</v>
      </c>
      <c r="K34" t="s">
        <v>68</v>
      </c>
      <c r="L34" t="s">
        <v>69</v>
      </c>
      <c r="M34" t="s">
        <v>68</v>
      </c>
      <c r="N34">
        <f t="shared" si="1"/>
        <v>100.511</v>
      </c>
      <c r="O34">
        <v>100.511</v>
      </c>
      <c r="P34">
        <v>1.0051099999999999</v>
      </c>
      <c r="R34">
        <v>100.511</v>
      </c>
    </row>
    <row r="35" spans="1:18" x14ac:dyDescent="0.2">
      <c r="A35" s="21">
        <v>46192</v>
      </c>
      <c r="B35" s="1">
        <v>46191</v>
      </c>
      <c r="C35" s="9" t="s">
        <v>17</v>
      </c>
      <c r="D35">
        <v>801</v>
      </c>
      <c r="E35" t="s">
        <v>27</v>
      </c>
      <c r="F35" s="9" t="s">
        <v>28</v>
      </c>
      <c r="G35">
        <v>100.511</v>
      </c>
      <c r="H35" s="9">
        <v>100.408</v>
      </c>
      <c r="I35" t="s">
        <v>12</v>
      </c>
      <c r="J35" t="s">
        <v>69</v>
      </c>
      <c r="K35" t="s">
        <v>68</v>
      </c>
      <c r="L35" t="s">
        <v>69</v>
      </c>
      <c r="M35" t="s">
        <v>68</v>
      </c>
      <c r="N35">
        <f t="shared" si="1"/>
        <v>100.511</v>
      </c>
      <c r="O35">
        <v>100.511</v>
      </c>
      <c r="P35">
        <v>1.0051099999999999</v>
      </c>
      <c r="R35">
        <v>100.511</v>
      </c>
    </row>
    <row r="36" spans="1:18" x14ac:dyDescent="0.2">
      <c r="A36" s="21">
        <v>46192</v>
      </c>
      <c r="B36" s="1">
        <v>46191</v>
      </c>
      <c r="C36" s="9" t="s">
        <v>18</v>
      </c>
      <c r="D36">
        <v>801</v>
      </c>
      <c r="E36" t="s">
        <v>27</v>
      </c>
      <c r="F36" s="9" t="s">
        <v>28</v>
      </c>
      <c r="G36">
        <v>100.511</v>
      </c>
      <c r="H36" s="9">
        <v>100.408</v>
      </c>
      <c r="I36" t="s">
        <v>12</v>
      </c>
      <c r="J36" t="s">
        <v>69</v>
      </c>
      <c r="K36" t="s">
        <v>68</v>
      </c>
      <c r="L36" t="s">
        <v>69</v>
      </c>
      <c r="M36" t="s">
        <v>68</v>
      </c>
      <c r="N36">
        <f t="shared" si="1"/>
        <v>100.511</v>
      </c>
      <c r="O36">
        <v>100.511</v>
      </c>
      <c r="P36">
        <v>1.0051099999999999</v>
      </c>
      <c r="R36">
        <v>100.511</v>
      </c>
    </row>
    <row r="37" spans="1:18" x14ac:dyDescent="0.2">
      <c r="A37" s="21">
        <v>46192</v>
      </c>
      <c r="B37" s="1">
        <v>46191</v>
      </c>
      <c r="C37" s="9" t="s">
        <v>35</v>
      </c>
      <c r="D37">
        <v>3345</v>
      </c>
      <c r="E37" t="s">
        <v>38</v>
      </c>
      <c r="F37" s="9" t="s">
        <v>39</v>
      </c>
      <c r="G37">
        <v>5.8999999999999997E-2</v>
      </c>
      <c r="H37" s="9">
        <v>0.124</v>
      </c>
      <c r="I37" t="s">
        <v>12</v>
      </c>
      <c r="J37" t="s">
        <v>69</v>
      </c>
      <c r="K37" t="s">
        <v>68</v>
      </c>
      <c r="L37" t="s">
        <v>69</v>
      </c>
      <c r="M37" t="s">
        <v>69</v>
      </c>
      <c r="N37">
        <f t="shared" si="1"/>
        <v>5.8999999999999997E-2</v>
      </c>
      <c r="O37">
        <v>0.124</v>
      </c>
      <c r="P37">
        <v>5.9000000000000003E-4</v>
      </c>
      <c r="R37">
        <v>5.8999999999999997E-2</v>
      </c>
    </row>
    <row r="38" spans="1:18" x14ac:dyDescent="0.2">
      <c r="A38" s="21">
        <v>46192</v>
      </c>
      <c r="B38" s="1">
        <v>46191</v>
      </c>
      <c r="C38" s="9" t="s">
        <v>35</v>
      </c>
      <c r="D38">
        <v>4273</v>
      </c>
      <c r="E38" t="s">
        <v>36</v>
      </c>
      <c r="F38" s="9" t="s">
        <v>37</v>
      </c>
      <c r="G38">
        <v>5.8999999999999997E-2</v>
      </c>
      <c r="H38" s="9">
        <v>0.124</v>
      </c>
      <c r="I38" t="s">
        <v>12</v>
      </c>
      <c r="J38" t="s">
        <v>69</v>
      </c>
      <c r="K38" t="s">
        <v>68</v>
      </c>
      <c r="L38" t="s">
        <v>69</v>
      </c>
      <c r="M38" t="s">
        <v>69</v>
      </c>
      <c r="N38">
        <f t="shared" si="1"/>
        <v>5.8999999999999997E-2</v>
      </c>
      <c r="O38">
        <v>5.8999999999999997E-2</v>
      </c>
      <c r="P38">
        <v>5.9000000000000003E-4</v>
      </c>
      <c r="R38">
        <v>5.8999999999999997E-2</v>
      </c>
    </row>
    <row r="39" spans="1:18" x14ac:dyDescent="0.2">
      <c r="A39" s="21">
        <v>46192</v>
      </c>
      <c r="B39" s="1">
        <v>46191</v>
      </c>
      <c r="C39" s="9" t="s">
        <v>20</v>
      </c>
      <c r="D39">
        <v>797</v>
      </c>
      <c r="E39" t="s">
        <v>23</v>
      </c>
      <c r="F39" s="9" t="s">
        <v>24</v>
      </c>
      <c r="G39">
        <v>79.069999999999993</v>
      </c>
      <c r="H39" s="9">
        <v>78.986999999999995</v>
      </c>
      <c r="I39" t="s">
        <v>12</v>
      </c>
      <c r="J39" t="s">
        <v>69</v>
      </c>
      <c r="K39" t="s">
        <v>68</v>
      </c>
      <c r="L39" t="s">
        <v>69</v>
      </c>
      <c r="M39" t="s">
        <v>68</v>
      </c>
      <c r="N39">
        <f t="shared" ref="N39:N70" si="2">+G39</f>
        <v>79.069999999999993</v>
      </c>
      <c r="O39">
        <v>79.069999999999993</v>
      </c>
      <c r="P39">
        <v>0.79069999999999996</v>
      </c>
      <c r="R39">
        <v>79.069999999999993</v>
      </c>
    </row>
    <row r="40" spans="1:18" x14ac:dyDescent="0.2">
      <c r="A40" s="20">
        <v>46192</v>
      </c>
      <c r="B40" s="1">
        <v>46191</v>
      </c>
      <c r="C40" s="9" t="s">
        <v>140</v>
      </c>
      <c r="D40">
        <v>797</v>
      </c>
      <c r="E40" t="s">
        <v>23</v>
      </c>
      <c r="F40" s="9" t="s">
        <v>24</v>
      </c>
      <c r="G40">
        <v>79.069999999999993</v>
      </c>
      <c r="H40" s="9">
        <v>78.986999999999995</v>
      </c>
      <c r="I40" t="s">
        <v>12</v>
      </c>
      <c r="J40" t="s">
        <v>69</v>
      </c>
      <c r="K40" t="s">
        <v>68</v>
      </c>
      <c r="L40" t="s">
        <v>69</v>
      </c>
      <c r="M40" t="s">
        <v>68</v>
      </c>
      <c r="N40">
        <f t="shared" si="2"/>
        <v>79.069999999999993</v>
      </c>
      <c r="O40">
        <v>79.069999999999993</v>
      </c>
      <c r="P40">
        <v>0.79069999999999996</v>
      </c>
      <c r="R40">
        <v>79.069999999999993</v>
      </c>
    </row>
    <row r="41" spans="1:18" x14ac:dyDescent="0.2">
      <c r="A41" s="21">
        <v>46192</v>
      </c>
      <c r="B41" s="1">
        <v>46191</v>
      </c>
      <c r="C41" s="9" t="s">
        <v>15</v>
      </c>
      <c r="D41">
        <v>797</v>
      </c>
      <c r="E41" t="s">
        <v>23</v>
      </c>
      <c r="F41" s="9" t="s">
        <v>24</v>
      </c>
      <c r="G41">
        <v>79.069999999999993</v>
      </c>
      <c r="H41" s="9">
        <v>78.986999999999995</v>
      </c>
      <c r="I41" t="s">
        <v>12</v>
      </c>
      <c r="J41" t="s">
        <v>69</v>
      </c>
      <c r="K41" t="s">
        <v>68</v>
      </c>
      <c r="L41" t="s">
        <v>69</v>
      </c>
      <c r="M41" t="s">
        <v>68</v>
      </c>
      <c r="N41">
        <f t="shared" si="2"/>
        <v>79.069999999999993</v>
      </c>
      <c r="O41">
        <v>79.069999999999993</v>
      </c>
      <c r="P41">
        <v>0.79069999999999996</v>
      </c>
      <c r="R41">
        <v>79.069999999999993</v>
      </c>
    </row>
    <row r="42" spans="1:18" x14ac:dyDescent="0.2">
      <c r="A42" s="20">
        <v>46192</v>
      </c>
      <c r="B42" s="1">
        <v>46191</v>
      </c>
      <c r="C42" s="9" t="s">
        <v>16</v>
      </c>
      <c r="D42">
        <v>797</v>
      </c>
      <c r="E42" t="s">
        <v>23</v>
      </c>
      <c r="F42" s="9" t="s">
        <v>24</v>
      </c>
      <c r="G42">
        <v>79.069999999999993</v>
      </c>
      <c r="H42" s="9">
        <v>78.986999999999995</v>
      </c>
      <c r="I42" t="s">
        <v>12</v>
      </c>
      <c r="J42" t="s">
        <v>69</v>
      </c>
      <c r="K42" t="s">
        <v>68</v>
      </c>
      <c r="L42" t="s">
        <v>69</v>
      </c>
      <c r="M42" t="s">
        <v>68</v>
      </c>
      <c r="N42">
        <f t="shared" si="2"/>
        <v>79.069999999999993</v>
      </c>
      <c r="O42">
        <v>79.069999999999993</v>
      </c>
      <c r="P42">
        <v>0.79069999999999996</v>
      </c>
      <c r="R42">
        <v>79.069999999999993</v>
      </c>
    </row>
    <row r="43" spans="1:18" x14ac:dyDescent="0.2">
      <c r="A43" s="21">
        <v>46192</v>
      </c>
      <c r="B43" s="1">
        <v>46191</v>
      </c>
      <c r="C43" s="9" t="s">
        <v>19</v>
      </c>
      <c r="D43">
        <v>797</v>
      </c>
      <c r="E43" t="s">
        <v>23</v>
      </c>
      <c r="F43" s="9" t="s">
        <v>24</v>
      </c>
      <c r="G43">
        <v>79.069999999999993</v>
      </c>
      <c r="H43" s="9">
        <v>78.986999999999995</v>
      </c>
      <c r="I43" t="s">
        <v>12</v>
      </c>
      <c r="J43" t="s">
        <v>69</v>
      </c>
      <c r="K43" t="s">
        <v>68</v>
      </c>
      <c r="L43" t="s">
        <v>69</v>
      </c>
      <c r="M43" t="s">
        <v>68</v>
      </c>
      <c r="N43">
        <f t="shared" si="2"/>
        <v>79.069999999999993</v>
      </c>
      <c r="O43">
        <v>79.069999999999993</v>
      </c>
      <c r="P43">
        <v>0.79069999999999996</v>
      </c>
      <c r="R43">
        <v>79.069999999999993</v>
      </c>
    </row>
    <row r="44" spans="1:18" x14ac:dyDescent="0.2">
      <c r="A44" s="21">
        <v>46192</v>
      </c>
      <c r="B44" s="1">
        <v>46191</v>
      </c>
      <c r="C44" s="9" t="s">
        <v>17</v>
      </c>
      <c r="D44">
        <v>797</v>
      </c>
      <c r="E44" t="s">
        <v>23</v>
      </c>
      <c r="F44" s="9" t="s">
        <v>24</v>
      </c>
      <c r="G44">
        <v>79.069999999999993</v>
      </c>
      <c r="H44" s="9">
        <v>78.986999999999995</v>
      </c>
      <c r="I44" t="s">
        <v>12</v>
      </c>
      <c r="J44" t="s">
        <v>69</v>
      </c>
      <c r="K44" t="s">
        <v>68</v>
      </c>
      <c r="L44" t="s">
        <v>69</v>
      </c>
      <c r="M44" t="s">
        <v>68</v>
      </c>
      <c r="N44">
        <f t="shared" si="2"/>
        <v>79.069999999999993</v>
      </c>
      <c r="O44">
        <v>79.069999999999993</v>
      </c>
      <c r="P44">
        <v>0.79069999999999996</v>
      </c>
      <c r="R44">
        <v>79.069999999999993</v>
      </c>
    </row>
    <row r="45" spans="1:18" x14ac:dyDescent="0.2">
      <c r="A45" s="21">
        <v>46192</v>
      </c>
      <c r="B45" s="1">
        <v>46191</v>
      </c>
      <c r="C45" s="9" t="s">
        <v>20</v>
      </c>
      <c r="D45">
        <v>7126</v>
      </c>
      <c r="E45" t="s">
        <v>33</v>
      </c>
      <c r="F45" s="9" t="s">
        <v>34</v>
      </c>
      <c r="G45">
        <v>100.023</v>
      </c>
      <c r="H45" s="9">
        <v>100.02800000000001</v>
      </c>
      <c r="I45" t="s">
        <v>12</v>
      </c>
      <c r="J45" t="s">
        <v>69</v>
      </c>
      <c r="K45" t="s">
        <v>68</v>
      </c>
      <c r="L45" t="s">
        <v>69</v>
      </c>
      <c r="M45" t="s">
        <v>68</v>
      </c>
      <c r="N45">
        <f t="shared" si="2"/>
        <v>100.023</v>
      </c>
      <c r="O45">
        <v>100.023</v>
      </c>
      <c r="P45">
        <v>1.00023</v>
      </c>
      <c r="R45">
        <v>100.023</v>
      </c>
    </row>
    <row r="46" spans="1:18" x14ac:dyDescent="0.2">
      <c r="A46" s="20">
        <v>46192</v>
      </c>
      <c r="B46" s="1">
        <v>46191</v>
      </c>
      <c r="C46" s="9" t="s">
        <v>140</v>
      </c>
      <c r="D46">
        <v>7126</v>
      </c>
      <c r="E46" t="s">
        <v>33</v>
      </c>
      <c r="F46" s="9" t="s">
        <v>34</v>
      </c>
      <c r="G46">
        <v>100.023</v>
      </c>
      <c r="H46" s="9">
        <v>100.02800000000001</v>
      </c>
      <c r="I46" t="s">
        <v>12</v>
      </c>
      <c r="J46" t="s">
        <v>69</v>
      </c>
      <c r="K46" t="s">
        <v>68</v>
      </c>
      <c r="L46" t="s">
        <v>69</v>
      </c>
      <c r="M46" t="s">
        <v>68</v>
      </c>
      <c r="N46">
        <f t="shared" si="2"/>
        <v>100.023</v>
      </c>
      <c r="O46">
        <v>100.023</v>
      </c>
      <c r="P46">
        <v>1.00023</v>
      </c>
      <c r="R46">
        <v>100.023</v>
      </c>
    </row>
    <row r="47" spans="1:18" x14ac:dyDescent="0.2">
      <c r="A47" s="21">
        <v>46192</v>
      </c>
      <c r="B47" s="1">
        <v>46191</v>
      </c>
      <c r="C47" s="9" t="s">
        <v>15</v>
      </c>
      <c r="D47">
        <v>7126</v>
      </c>
      <c r="E47" t="s">
        <v>33</v>
      </c>
      <c r="F47" s="9" t="s">
        <v>34</v>
      </c>
      <c r="G47">
        <v>100.023</v>
      </c>
      <c r="H47" s="9">
        <v>100.02800000000001</v>
      </c>
      <c r="I47" t="s">
        <v>12</v>
      </c>
      <c r="J47" t="s">
        <v>69</v>
      </c>
      <c r="K47" t="s">
        <v>68</v>
      </c>
      <c r="L47" t="s">
        <v>69</v>
      </c>
      <c r="M47" t="s">
        <v>68</v>
      </c>
      <c r="N47">
        <f t="shared" si="2"/>
        <v>100.023</v>
      </c>
      <c r="O47">
        <v>100.023</v>
      </c>
      <c r="P47">
        <v>1.00023</v>
      </c>
      <c r="R47">
        <v>100.023</v>
      </c>
    </row>
    <row r="48" spans="1:18" x14ac:dyDescent="0.2">
      <c r="A48" s="20">
        <v>46192</v>
      </c>
      <c r="B48" s="1">
        <v>46191</v>
      </c>
      <c r="C48" s="9" t="s">
        <v>16</v>
      </c>
      <c r="D48">
        <v>7126</v>
      </c>
      <c r="E48" t="s">
        <v>33</v>
      </c>
      <c r="F48" s="9" t="s">
        <v>34</v>
      </c>
      <c r="G48">
        <v>100.023</v>
      </c>
      <c r="H48" s="9">
        <v>100.02800000000001</v>
      </c>
      <c r="I48" t="s">
        <v>12</v>
      </c>
      <c r="J48" t="s">
        <v>69</v>
      </c>
      <c r="K48" t="s">
        <v>68</v>
      </c>
      <c r="L48" t="s">
        <v>69</v>
      </c>
      <c r="M48" t="s">
        <v>68</v>
      </c>
      <c r="N48">
        <f t="shared" si="2"/>
        <v>100.023</v>
      </c>
      <c r="O48">
        <v>100.023</v>
      </c>
      <c r="P48">
        <v>1.00023</v>
      </c>
      <c r="R48">
        <v>100.023</v>
      </c>
    </row>
    <row r="49" spans="1:18" x14ac:dyDescent="0.2">
      <c r="A49" s="21">
        <v>46192</v>
      </c>
      <c r="B49" s="1">
        <v>46191</v>
      </c>
      <c r="C49" s="9" t="s">
        <v>19</v>
      </c>
      <c r="D49">
        <v>7126</v>
      </c>
      <c r="E49" t="s">
        <v>33</v>
      </c>
      <c r="F49" s="9" t="s">
        <v>34</v>
      </c>
      <c r="G49">
        <v>100.023</v>
      </c>
      <c r="H49" s="9">
        <v>100.02800000000001</v>
      </c>
      <c r="I49" t="s">
        <v>12</v>
      </c>
      <c r="J49" t="s">
        <v>69</v>
      </c>
      <c r="K49" t="s">
        <v>68</v>
      </c>
      <c r="L49" t="s">
        <v>69</v>
      </c>
      <c r="M49" t="s">
        <v>68</v>
      </c>
      <c r="N49">
        <f t="shared" si="2"/>
        <v>100.023</v>
      </c>
      <c r="O49">
        <v>100.023</v>
      </c>
      <c r="P49">
        <v>1.00023</v>
      </c>
      <c r="R49">
        <v>100.023</v>
      </c>
    </row>
    <row r="50" spans="1:18" x14ac:dyDescent="0.2">
      <c r="A50" s="21">
        <v>46192</v>
      </c>
      <c r="B50" s="1">
        <v>46191</v>
      </c>
      <c r="C50" s="9" t="s">
        <v>17</v>
      </c>
      <c r="D50">
        <v>7126</v>
      </c>
      <c r="E50" t="s">
        <v>33</v>
      </c>
      <c r="F50" s="9" t="s">
        <v>34</v>
      </c>
      <c r="G50">
        <v>100.023</v>
      </c>
      <c r="H50" s="9">
        <v>100.02800000000001</v>
      </c>
      <c r="I50" t="s">
        <v>12</v>
      </c>
      <c r="J50" t="s">
        <v>69</v>
      </c>
      <c r="K50" t="s">
        <v>68</v>
      </c>
      <c r="L50" t="s">
        <v>69</v>
      </c>
      <c r="M50" t="s">
        <v>68</v>
      </c>
      <c r="N50">
        <f t="shared" si="2"/>
        <v>100.023</v>
      </c>
      <c r="O50">
        <v>100.023</v>
      </c>
      <c r="P50">
        <v>1.00023</v>
      </c>
      <c r="R50">
        <v>100.023</v>
      </c>
    </row>
    <row r="51" spans="1:18" x14ac:dyDescent="0.2">
      <c r="A51" s="21">
        <v>46192</v>
      </c>
      <c r="B51" s="1">
        <v>46191</v>
      </c>
      <c r="C51" s="9" t="s">
        <v>18</v>
      </c>
      <c r="D51">
        <v>7126</v>
      </c>
      <c r="E51" t="s">
        <v>33</v>
      </c>
      <c r="F51" s="9" t="s">
        <v>34</v>
      </c>
      <c r="G51">
        <v>100.023</v>
      </c>
      <c r="H51" s="9">
        <v>100.02800000000001</v>
      </c>
      <c r="I51" t="s">
        <v>12</v>
      </c>
      <c r="J51" t="s">
        <v>69</v>
      </c>
      <c r="K51" t="s">
        <v>68</v>
      </c>
      <c r="L51" t="s">
        <v>69</v>
      </c>
      <c r="M51" t="s">
        <v>68</v>
      </c>
      <c r="N51">
        <f t="shared" si="2"/>
        <v>100.023</v>
      </c>
      <c r="O51">
        <v>100.023</v>
      </c>
      <c r="P51">
        <v>1.00023</v>
      </c>
      <c r="R51">
        <v>100.023</v>
      </c>
    </row>
    <row r="52" spans="1:18" x14ac:dyDescent="0.2">
      <c r="A52" s="21">
        <v>46192</v>
      </c>
      <c r="B52" s="1">
        <v>46191</v>
      </c>
      <c r="C52" s="9" t="s">
        <v>20</v>
      </c>
      <c r="D52">
        <v>7101</v>
      </c>
      <c r="E52" t="s">
        <v>29</v>
      </c>
      <c r="F52" s="9" t="s">
        <v>30</v>
      </c>
      <c r="G52">
        <v>100.023</v>
      </c>
      <c r="H52" s="9">
        <v>100.02800000000001</v>
      </c>
      <c r="I52" t="s">
        <v>12</v>
      </c>
      <c r="J52" t="s">
        <v>69</v>
      </c>
      <c r="K52" t="s">
        <v>68</v>
      </c>
      <c r="L52" t="s">
        <v>69</v>
      </c>
      <c r="M52" t="s">
        <v>68</v>
      </c>
      <c r="N52">
        <f t="shared" si="2"/>
        <v>100.023</v>
      </c>
      <c r="O52">
        <v>100.023</v>
      </c>
      <c r="P52">
        <v>1.00023</v>
      </c>
      <c r="R52">
        <v>100.023</v>
      </c>
    </row>
    <row r="53" spans="1:18" x14ac:dyDescent="0.2">
      <c r="A53" s="20">
        <v>46192</v>
      </c>
      <c r="B53" s="1">
        <v>46191</v>
      </c>
      <c r="C53" s="9" t="s">
        <v>140</v>
      </c>
      <c r="D53">
        <v>7101</v>
      </c>
      <c r="E53" t="s">
        <v>29</v>
      </c>
      <c r="F53" s="9" t="s">
        <v>30</v>
      </c>
      <c r="G53">
        <v>100.023</v>
      </c>
      <c r="H53" s="9">
        <v>100.02800000000001</v>
      </c>
      <c r="I53" t="s">
        <v>12</v>
      </c>
      <c r="J53" t="s">
        <v>69</v>
      </c>
      <c r="K53" t="s">
        <v>68</v>
      </c>
      <c r="L53" t="s">
        <v>69</v>
      </c>
      <c r="M53" t="s">
        <v>68</v>
      </c>
      <c r="N53">
        <f t="shared" si="2"/>
        <v>100.023</v>
      </c>
      <c r="O53">
        <v>100.023</v>
      </c>
      <c r="P53">
        <v>1.00023</v>
      </c>
      <c r="R53">
        <v>100.023</v>
      </c>
    </row>
    <row r="54" spans="1:18" x14ac:dyDescent="0.2">
      <c r="A54" s="21">
        <v>46192</v>
      </c>
      <c r="B54" s="1">
        <v>46191</v>
      </c>
      <c r="C54" s="9" t="s">
        <v>15</v>
      </c>
      <c r="D54">
        <v>7101</v>
      </c>
      <c r="E54" t="s">
        <v>29</v>
      </c>
      <c r="F54" s="9" t="s">
        <v>30</v>
      </c>
      <c r="G54">
        <v>100.023</v>
      </c>
      <c r="H54" s="9">
        <v>100.02800000000001</v>
      </c>
      <c r="I54" t="s">
        <v>12</v>
      </c>
      <c r="J54" t="s">
        <v>69</v>
      </c>
      <c r="K54" t="s">
        <v>68</v>
      </c>
      <c r="L54" t="s">
        <v>69</v>
      </c>
      <c r="M54" t="s">
        <v>68</v>
      </c>
      <c r="N54">
        <f t="shared" si="2"/>
        <v>100.023</v>
      </c>
      <c r="O54">
        <v>100.023</v>
      </c>
      <c r="P54">
        <v>1.00023</v>
      </c>
      <c r="R54">
        <v>100.023</v>
      </c>
    </row>
    <row r="55" spans="1:18" x14ac:dyDescent="0.2">
      <c r="A55" s="20">
        <v>46192</v>
      </c>
      <c r="B55" s="1">
        <v>46191</v>
      </c>
      <c r="C55" s="9" t="s">
        <v>16</v>
      </c>
      <c r="D55">
        <v>7101</v>
      </c>
      <c r="E55" t="s">
        <v>29</v>
      </c>
      <c r="F55" s="9" t="s">
        <v>30</v>
      </c>
      <c r="G55">
        <v>100.023</v>
      </c>
      <c r="H55" s="9">
        <v>100.02800000000001</v>
      </c>
      <c r="I55" t="s">
        <v>12</v>
      </c>
      <c r="J55" t="s">
        <v>69</v>
      </c>
      <c r="K55" t="s">
        <v>68</v>
      </c>
      <c r="L55" t="s">
        <v>69</v>
      </c>
      <c r="M55" t="s">
        <v>68</v>
      </c>
      <c r="N55">
        <f t="shared" si="2"/>
        <v>100.023</v>
      </c>
      <c r="O55">
        <v>100.023</v>
      </c>
      <c r="P55">
        <v>1.00023</v>
      </c>
      <c r="R55">
        <v>100.023</v>
      </c>
    </row>
    <row r="56" spans="1:18" x14ac:dyDescent="0.2">
      <c r="A56" s="21">
        <v>46192</v>
      </c>
      <c r="B56" s="1">
        <v>46191</v>
      </c>
      <c r="C56" s="9" t="s">
        <v>19</v>
      </c>
      <c r="D56">
        <v>7101</v>
      </c>
      <c r="E56" t="s">
        <v>29</v>
      </c>
      <c r="F56" s="9" t="s">
        <v>30</v>
      </c>
      <c r="G56">
        <v>100.023</v>
      </c>
      <c r="H56" s="9">
        <v>100.02800000000001</v>
      </c>
      <c r="I56" t="s">
        <v>12</v>
      </c>
      <c r="J56" t="s">
        <v>69</v>
      </c>
      <c r="K56" t="s">
        <v>68</v>
      </c>
      <c r="L56" t="s">
        <v>69</v>
      </c>
      <c r="M56" t="s">
        <v>68</v>
      </c>
      <c r="N56">
        <f t="shared" si="2"/>
        <v>100.023</v>
      </c>
      <c r="O56">
        <v>100.023</v>
      </c>
      <c r="P56">
        <v>1.00023</v>
      </c>
      <c r="R56">
        <v>100.023</v>
      </c>
    </row>
    <row r="57" spans="1:18" x14ac:dyDescent="0.2">
      <c r="A57" s="21">
        <v>46192</v>
      </c>
      <c r="B57" s="1">
        <v>46191</v>
      </c>
      <c r="C57" s="9" t="s">
        <v>17</v>
      </c>
      <c r="D57">
        <v>7101</v>
      </c>
      <c r="E57" t="s">
        <v>29</v>
      </c>
      <c r="F57" s="9" t="s">
        <v>30</v>
      </c>
      <c r="G57">
        <v>100.023</v>
      </c>
      <c r="H57" s="9">
        <v>100.02800000000001</v>
      </c>
      <c r="I57" t="s">
        <v>12</v>
      </c>
      <c r="J57" t="s">
        <v>69</v>
      </c>
      <c r="K57" t="s">
        <v>68</v>
      </c>
      <c r="L57" t="s">
        <v>69</v>
      </c>
      <c r="M57" t="s">
        <v>68</v>
      </c>
      <c r="N57">
        <f t="shared" si="2"/>
        <v>100.023</v>
      </c>
      <c r="O57">
        <v>100.023</v>
      </c>
      <c r="P57">
        <v>1.00023</v>
      </c>
      <c r="R57">
        <v>100.023</v>
      </c>
    </row>
    <row r="58" spans="1:18" x14ac:dyDescent="0.2">
      <c r="A58" s="21">
        <v>46192</v>
      </c>
      <c r="B58" s="1">
        <v>46191</v>
      </c>
      <c r="C58" s="9" t="s">
        <v>18</v>
      </c>
      <c r="D58">
        <v>7101</v>
      </c>
      <c r="E58" t="s">
        <v>29</v>
      </c>
      <c r="F58" s="9" t="s">
        <v>30</v>
      </c>
      <c r="G58">
        <v>100.023</v>
      </c>
      <c r="H58" s="9">
        <v>100.02800000000001</v>
      </c>
      <c r="I58" t="s">
        <v>12</v>
      </c>
      <c r="J58" t="s">
        <v>69</v>
      </c>
      <c r="K58" t="s">
        <v>68</v>
      </c>
      <c r="L58" t="s">
        <v>69</v>
      </c>
      <c r="M58" t="s">
        <v>68</v>
      </c>
      <c r="N58">
        <f t="shared" si="2"/>
        <v>100.023</v>
      </c>
      <c r="O58">
        <v>100.023</v>
      </c>
      <c r="P58">
        <v>1.00023</v>
      </c>
      <c r="R58">
        <v>100.023</v>
      </c>
    </row>
    <row r="59" spans="1:18" x14ac:dyDescent="0.2">
      <c r="A59" s="21">
        <v>46192</v>
      </c>
      <c r="B59" s="1">
        <v>46191</v>
      </c>
      <c r="C59" s="9" t="s">
        <v>20</v>
      </c>
      <c r="D59">
        <v>6935</v>
      </c>
      <c r="E59" t="s">
        <v>31</v>
      </c>
      <c r="F59" s="9" t="s">
        <v>32</v>
      </c>
      <c r="G59">
        <v>100.063</v>
      </c>
      <c r="H59" s="9">
        <v>100.083</v>
      </c>
      <c r="I59" t="s">
        <v>12</v>
      </c>
      <c r="J59" t="s">
        <v>69</v>
      </c>
      <c r="K59" t="s">
        <v>68</v>
      </c>
      <c r="L59" t="s">
        <v>69</v>
      </c>
      <c r="M59" t="s">
        <v>68</v>
      </c>
      <c r="N59">
        <f t="shared" si="2"/>
        <v>100.063</v>
      </c>
      <c r="O59">
        <v>100.063</v>
      </c>
      <c r="P59">
        <v>1.00023</v>
      </c>
      <c r="R59">
        <v>100.023</v>
      </c>
    </row>
    <row r="60" spans="1:18" x14ac:dyDescent="0.2">
      <c r="A60" s="20">
        <v>46192</v>
      </c>
      <c r="B60" s="1">
        <v>46191</v>
      </c>
      <c r="C60" s="9" t="s">
        <v>140</v>
      </c>
      <c r="D60">
        <v>6935</v>
      </c>
      <c r="E60" t="s">
        <v>31</v>
      </c>
      <c r="F60" s="9" t="s">
        <v>32</v>
      </c>
      <c r="G60">
        <v>100.063</v>
      </c>
      <c r="H60" s="9">
        <v>100.083</v>
      </c>
      <c r="I60" t="s">
        <v>12</v>
      </c>
      <c r="J60" t="s">
        <v>69</v>
      </c>
      <c r="K60" t="s">
        <v>68</v>
      </c>
      <c r="L60" t="s">
        <v>69</v>
      </c>
      <c r="M60" t="s">
        <v>68</v>
      </c>
      <c r="N60">
        <f t="shared" si="2"/>
        <v>100.063</v>
      </c>
      <c r="O60">
        <v>100.063</v>
      </c>
      <c r="P60">
        <v>1.00023</v>
      </c>
      <c r="R60">
        <v>100.023</v>
      </c>
    </row>
    <row r="61" spans="1:18" x14ac:dyDescent="0.2">
      <c r="A61" s="21">
        <v>46192</v>
      </c>
      <c r="B61" s="1">
        <v>46191</v>
      </c>
      <c r="C61" s="9" t="s">
        <v>15</v>
      </c>
      <c r="D61">
        <v>6935</v>
      </c>
      <c r="E61" t="s">
        <v>31</v>
      </c>
      <c r="F61" s="9" t="s">
        <v>32</v>
      </c>
      <c r="G61">
        <v>100.063</v>
      </c>
      <c r="H61" s="9">
        <v>100.083</v>
      </c>
      <c r="I61" t="s">
        <v>12</v>
      </c>
      <c r="J61" t="s">
        <v>69</v>
      </c>
      <c r="K61" t="s">
        <v>68</v>
      </c>
      <c r="L61" t="s">
        <v>69</v>
      </c>
      <c r="M61" t="s">
        <v>68</v>
      </c>
      <c r="N61">
        <f t="shared" si="2"/>
        <v>100.063</v>
      </c>
      <c r="O61">
        <v>100.063</v>
      </c>
      <c r="P61">
        <v>1.00023</v>
      </c>
      <c r="R61">
        <v>100.023</v>
      </c>
    </row>
    <row r="62" spans="1:18" x14ac:dyDescent="0.2">
      <c r="A62" s="20">
        <v>46192</v>
      </c>
      <c r="B62" s="1">
        <v>46191</v>
      </c>
      <c r="C62" s="9" t="s">
        <v>16</v>
      </c>
      <c r="D62">
        <v>6935</v>
      </c>
      <c r="E62" t="s">
        <v>31</v>
      </c>
      <c r="F62" s="9" t="s">
        <v>32</v>
      </c>
      <c r="G62">
        <v>100.063</v>
      </c>
      <c r="H62" s="9">
        <v>100.083</v>
      </c>
      <c r="I62" t="s">
        <v>12</v>
      </c>
      <c r="J62" t="s">
        <v>69</v>
      </c>
      <c r="K62" t="s">
        <v>68</v>
      </c>
      <c r="L62" t="s">
        <v>69</v>
      </c>
      <c r="M62" t="s">
        <v>68</v>
      </c>
      <c r="N62">
        <f t="shared" si="2"/>
        <v>100.063</v>
      </c>
      <c r="O62">
        <v>100.063</v>
      </c>
      <c r="P62">
        <v>1.00023</v>
      </c>
      <c r="R62">
        <v>100.023</v>
      </c>
    </row>
    <row r="63" spans="1:18" x14ac:dyDescent="0.2">
      <c r="A63" s="21">
        <v>46192</v>
      </c>
      <c r="B63" s="1">
        <v>46191</v>
      </c>
      <c r="C63" s="9" t="s">
        <v>19</v>
      </c>
      <c r="D63">
        <v>6935</v>
      </c>
      <c r="E63" t="s">
        <v>31</v>
      </c>
      <c r="F63" s="9" t="s">
        <v>32</v>
      </c>
      <c r="G63">
        <v>100.063</v>
      </c>
      <c r="H63" s="9">
        <v>100.083</v>
      </c>
      <c r="I63" t="s">
        <v>12</v>
      </c>
      <c r="J63" t="s">
        <v>69</v>
      </c>
      <c r="K63" t="s">
        <v>68</v>
      </c>
      <c r="L63" t="s">
        <v>69</v>
      </c>
      <c r="M63" t="s">
        <v>68</v>
      </c>
      <c r="N63">
        <f t="shared" si="2"/>
        <v>100.063</v>
      </c>
      <c r="O63">
        <v>100.063</v>
      </c>
      <c r="P63">
        <v>1.00023</v>
      </c>
      <c r="R63">
        <v>100.023</v>
      </c>
    </row>
    <row r="64" spans="1:18" x14ac:dyDescent="0.2">
      <c r="A64" s="21">
        <v>46192</v>
      </c>
      <c r="B64" s="1">
        <v>46191</v>
      </c>
      <c r="C64" s="9" t="s">
        <v>17</v>
      </c>
      <c r="D64">
        <v>6935</v>
      </c>
      <c r="E64" t="s">
        <v>31</v>
      </c>
      <c r="F64" s="9" t="s">
        <v>32</v>
      </c>
      <c r="G64">
        <v>100.063</v>
      </c>
      <c r="H64" s="9">
        <v>100.083</v>
      </c>
      <c r="I64" t="s">
        <v>12</v>
      </c>
      <c r="J64" t="s">
        <v>69</v>
      </c>
      <c r="K64" t="s">
        <v>68</v>
      </c>
      <c r="L64" t="s">
        <v>69</v>
      </c>
      <c r="M64" t="s">
        <v>68</v>
      </c>
      <c r="N64">
        <f t="shared" si="2"/>
        <v>100.063</v>
      </c>
      <c r="O64">
        <v>100.063</v>
      </c>
      <c r="P64">
        <v>1.00023</v>
      </c>
      <c r="R64">
        <v>100.023</v>
      </c>
    </row>
    <row r="65" spans="1:19" x14ac:dyDescent="0.2">
      <c r="A65" s="21">
        <v>46192</v>
      </c>
      <c r="B65" s="1">
        <v>46191</v>
      </c>
      <c r="C65" s="9" t="s">
        <v>18</v>
      </c>
      <c r="D65">
        <v>6935</v>
      </c>
      <c r="E65" t="s">
        <v>31</v>
      </c>
      <c r="F65" s="9" t="s">
        <v>32</v>
      </c>
      <c r="G65">
        <v>100.063</v>
      </c>
      <c r="H65" s="9">
        <v>100.083</v>
      </c>
      <c r="I65" t="s">
        <v>12</v>
      </c>
      <c r="J65" t="s">
        <v>69</v>
      </c>
      <c r="K65" t="s">
        <v>68</v>
      </c>
      <c r="L65" t="s">
        <v>69</v>
      </c>
      <c r="M65" t="s">
        <v>68</v>
      </c>
      <c r="N65">
        <f t="shared" si="2"/>
        <v>100.063</v>
      </c>
      <c r="O65">
        <v>100.063</v>
      </c>
      <c r="P65">
        <v>1.00023</v>
      </c>
      <c r="R65">
        <v>100.023</v>
      </c>
    </row>
    <row r="66" spans="1:19" x14ac:dyDescent="0.2">
      <c r="A66" s="21">
        <v>46192</v>
      </c>
      <c r="B66" s="1">
        <v>46191</v>
      </c>
      <c r="C66" s="9" t="s">
        <v>20</v>
      </c>
      <c r="D66">
        <v>7095</v>
      </c>
      <c r="E66" t="s">
        <v>21</v>
      </c>
      <c r="F66" s="9" t="s">
        <v>22</v>
      </c>
      <c r="G66">
        <v>100.15</v>
      </c>
      <c r="H66" s="9">
        <v>100.208</v>
      </c>
      <c r="I66" t="s">
        <v>12</v>
      </c>
      <c r="J66" t="s">
        <v>69</v>
      </c>
      <c r="K66" t="s">
        <v>68</v>
      </c>
      <c r="L66" t="s">
        <v>69</v>
      </c>
      <c r="M66" t="s">
        <v>68</v>
      </c>
      <c r="N66">
        <f t="shared" si="2"/>
        <v>100.15</v>
      </c>
      <c r="O66">
        <v>100.15</v>
      </c>
      <c r="P66">
        <v>1.0015000000000001</v>
      </c>
      <c r="R66">
        <v>100.15</v>
      </c>
    </row>
    <row r="67" spans="1:19" x14ac:dyDescent="0.2">
      <c r="A67" s="20">
        <v>46192</v>
      </c>
      <c r="B67" s="1">
        <v>46191</v>
      </c>
      <c r="C67" s="9" t="s">
        <v>140</v>
      </c>
      <c r="D67">
        <v>7095</v>
      </c>
      <c r="E67" t="s">
        <v>21</v>
      </c>
      <c r="F67" s="9" t="s">
        <v>22</v>
      </c>
      <c r="G67">
        <v>100.15</v>
      </c>
      <c r="H67" s="9">
        <v>100.208</v>
      </c>
      <c r="I67" t="s">
        <v>12</v>
      </c>
      <c r="J67" t="s">
        <v>69</v>
      </c>
      <c r="K67" t="s">
        <v>68</v>
      </c>
      <c r="L67" t="s">
        <v>69</v>
      </c>
      <c r="M67" t="s">
        <v>68</v>
      </c>
      <c r="N67">
        <f t="shared" si="2"/>
        <v>100.15</v>
      </c>
      <c r="O67">
        <v>100.15</v>
      </c>
      <c r="P67">
        <v>1.0015000000000001</v>
      </c>
      <c r="R67">
        <v>100.15</v>
      </c>
    </row>
    <row r="68" spans="1:19" x14ac:dyDescent="0.2">
      <c r="A68" s="21">
        <v>46192</v>
      </c>
      <c r="B68" s="1">
        <v>46191</v>
      </c>
      <c r="C68" s="9" t="s">
        <v>15</v>
      </c>
      <c r="D68">
        <v>7095</v>
      </c>
      <c r="E68" t="s">
        <v>21</v>
      </c>
      <c r="F68" s="9" t="s">
        <v>22</v>
      </c>
      <c r="G68">
        <v>100.15</v>
      </c>
      <c r="H68" s="9">
        <v>100.208</v>
      </c>
      <c r="I68" t="s">
        <v>12</v>
      </c>
      <c r="J68" t="s">
        <v>69</v>
      </c>
      <c r="K68" t="s">
        <v>68</v>
      </c>
      <c r="L68" t="s">
        <v>69</v>
      </c>
      <c r="M68" t="s">
        <v>68</v>
      </c>
      <c r="N68">
        <f t="shared" si="2"/>
        <v>100.15</v>
      </c>
      <c r="O68">
        <v>100.15</v>
      </c>
      <c r="P68">
        <v>1.0015000000000001</v>
      </c>
      <c r="R68">
        <v>100.15</v>
      </c>
    </row>
    <row r="69" spans="1:19" x14ac:dyDescent="0.2">
      <c r="A69" s="20">
        <v>46192</v>
      </c>
      <c r="B69" s="1">
        <v>46191</v>
      </c>
      <c r="C69" s="9" t="s">
        <v>16</v>
      </c>
      <c r="D69">
        <v>7095</v>
      </c>
      <c r="E69" t="s">
        <v>21</v>
      </c>
      <c r="F69" s="9" t="s">
        <v>22</v>
      </c>
      <c r="G69">
        <v>100.15</v>
      </c>
      <c r="H69" s="9">
        <v>100.208</v>
      </c>
      <c r="I69" t="s">
        <v>12</v>
      </c>
      <c r="J69" t="s">
        <v>69</v>
      </c>
      <c r="K69" t="s">
        <v>68</v>
      </c>
      <c r="L69" t="s">
        <v>69</v>
      </c>
      <c r="M69" t="s">
        <v>68</v>
      </c>
      <c r="N69">
        <f t="shared" si="2"/>
        <v>100.15</v>
      </c>
      <c r="O69">
        <v>100.15</v>
      </c>
      <c r="P69">
        <v>1.0015000000000001</v>
      </c>
      <c r="R69">
        <v>100.15</v>
      </c>
    </row>
    <row r="70" spans="1:19" x14ac:dyDescent="0.2">
      <c r="A70" s="21">
        <v>46192</v>
      </c>
      <c r="B70" s="1">
        <v>46191</v>
      </c>
      <c r="C70" s="9" t="s">
        <v>19</v>
      </c>
      <c r="D70">
        <v>7095</v>
      </c>
      <c r="E70" t="s">
        <v>21</v>
      </c>
      <c r="F70" s="9" t="s">
        <v>22</v>
      </c>
      <c r="G70">
        <v>100.15</v>
      </c>
      <c r="H70" s="9">
        <v>100.208</v>
      </c>
      <c r="I70" t="s">
        <v>12</v>
      </c>
      <c r="J70" t="s">
        <v>69</v>
      </c>
      <c r="K70" t="s">
        <v>68</v>
      </c>
      <c r="L70" t="s">
        <v>69</v>
      </c>
      <c r="M70" t="s">
        <v>68</v>
      </c>
      <c r="N70">
        <f t="shared" si="2"/>
        <v>100.15</v>
      </c>
      <c r="O70">
        <v>100.15</v>
      </c>
      <c r="P70">
        <v>1.0015000000000001</v>
      </c>
      <c r="R70">
        <v>100.15</v>
      </c>
    </row>
    <row r="71" spans="1:19" x14ac:dyDescent="0.2">
      <c r="A71" s="21">
        <v>46192</v>
      </c>
      <c r="B71" s="1">
        <v>46191</v>
      </c>
      <c r="C71" s="9" t="s">
        <v>17</v>
      </c>
      <c r="D71">
        <v>7095</v>
      </c>
      <c r="E71" t="s">
        <v>21</v>
      </c>
      <c r="F71" s="9" t="s">
        <v>22</v>
      </c>
      <c r="G71">
        <v>100.15</v>
      </c>
      <c r="H71" s="9">
        <v>100.208</v>
      </c>
      <c r="I71" t="s">
        <v>12</v>
      </c>
      <c r="J71" t="s">
        <v>69</v>
      </c>
      <c r="K71" t="s">
        <v>68</v>
      </c>
      <c r="L71" t="s">
        <v>69</v>
      </c>
      <c r="M71" t="s">
        <v>68</v>
      </c>
      <c r="N71">
        <f t="shared" ref="N71:N80" si="3">+G71</f>
        <v>100.15</v>
      </c>
      <c r="O71">
        <v>100.15</v>
      </c>
      <c r="P71">
        <v>1.0015000000000001</v>
      </c>
      <c r="R71">
        <v>100.15</v>
      </c>
    </row>
    <row r="72" spans="1:19" x14ac:dyDescent="0.2">
      <c r="A72" s="21">
        <v>46192</v>
      </c>
      <c r="B72" s="1">
        <v>46191</v>
      </c>
      <c r="C72" s="9" t="s">
        <v>18</v>
      </c>
      <c r="D72">
        <v>7095</v>
      </c>
      <c r="E72" t="s">
        <v>21</v>
      </c>
      <c r="F72" s="9" t="s">
        <v>22</v>
      </c>
      <c r="G72">
        <v>100.15</v>
      </c>
      <c r="H72" s="9">
        <v>100.208</v>
      </c>
      <c r="I72" t="s">
        <v>12</v>
      </c>
      <c r="J72" t="s">
        <v>69</v>
      </c>
      <c r="K72" t="s">
        <v>68</v>
      </c>
      <c r="L72" t="s">
        <v>69</v>
      </c>
      <c r="M72" t="s">
        <v>68</v>
      </c>
      <c r="N72">
        <f t="shared" si="3"/>
        <v>100.15</v>
      </c>
      <c r="O72">
        <v>100.15</v>
      </c>
      <c r="P72">
        <v>1.0015000000000001</v>
      </c>
      <c r="R72">
        <v>100.15</v>
      </c>
    </row>
    <row r="73" spans="1:19" x14ac:dyDescent="0.2">
      <c r="A73" s="21">
        <v>46192</v>
      </c>
      <c r="B73" s="1">
        <v>46191</v>
      </c>
      <c r="C73" s="9" t="s">
        <v>20</v>
      </c>
      <c r="D73">
        <v>6265</v>
      </c>
      <c r="E73" t="s">
        <v>25</v>
      </c>
      <c r="F73" s="9" t="s">
        <v>26</v>
      </c>
      <c r="G73">
        <v>100.107</v>
      </c>
      <c r="H73" s="9">
        <v>100.125</v>
      </c>
      <c r="I73" t="s">
        <v>12</v>
      </c>
      <c r="J73" t="s">
        <v>69</v>
      </c>
      <c r="K73" t="s">
        <v>68</v>
      </c>
      <c r="L73" t="s">
        <v>69</v>
      </c>
      <c r="M73" t="s">
        <v>68</v>
      </c>
      <c r="N73">
        <f t="shared" si="3"/>
        <v>100.107</v>
      </c>
      <c r="O73">
        <v>100.107</v>
      </c>
      <c r="P73">
        <v>1.0010699999999999</v>
      </c>
      <c r="R73">
        <v>100.107</v>
      </c>
    </row>
    <row r="74" spans="1:19" x14ac:dyDescent="0.2">
      <c r="A74" s="20">
        <v>46192</v>
      </c>
      <c r="B74" s="1">
        <v>46191</v>
      </c>
      <c r="C74" s="9" t="s">
        <v>140</v>
      </c>
      <c r="D74">
        <v>6265</v>
      </c>
      <c r="E74" t="s">
        <v>25</v>
      </c>
      <c r="F74" s="9" t="s">
        <v>26</v>
      </c>
      <c r="G74">
        <v>100.107</v>
      </c>
      <c r="H74" s="9">
        <v>100.125</v>
      </c>
      <c r="I74" t="s">
        <v>12</v>
      </c>
      <c r="J74" t="s">
        <v>69</v>
      </c>
      <c r="K74" t="s">
        <v>68</v>
      </c>
      <c r="L74" t="s">
        <v>69</v>
      </c>
      <c r="M74" t="s">
        <v>68</v>
      </c>
      <c r="N74">
        <f t="shared" si="3"/>
        <v>100.107</v>
      </c>
      <c r="O74">
        <v>100.107</v>
      </c>
      <c r="P74">
        <v>1.0010699999999999</v>
      </c>
      <c r="R74">
        <v>100.107</v>
      </c>
    </row>
    <row r="75" spans="1:19" x14ac:dyDescent="0.2">
      <c r="A75" s="21">
        <v>46192</v>
      </c>
      <c r="B75" s="1">
        <v>46191</v>
      </c>
      <c r="C75" s="9" t="s">
        <v>15</v>
      </c>
      <c r="D75">
        <v>6265</v>
      </c>
      <c r="E75" t="s">
        <v>25</v>
      </c>
      <c r="F75" s="9" t="s">
        <v>26</v>
      </c>
      <c r="G75">
        <v>100.107</v>
      </c>
      <c r="H75" s="9">
        <v>100.125</v>
      </c>
      <c r="I75" t="s">
        <v>12</v>
      </c>
      <c r="J75" t="s">
        <v>69</v>
      </c>
      <c r="K75" t="s">
        <v>68</v>
      </c>
      <c r="L75" t="s">
        <v>69</v>
      </c>
      <c r="M75" t="s">
        <v>68</v>
      </c>
      <c r="N75">
        <f t="shared" si="3"/>
        <v>100.107</v>
      </c>
      <c r="O75">
        <v>100.107</v>
      </c>
      <c r="P75">
        <v>1.0010699999999999</v>
      </c>
      <c r="R75">
        <v>100.107</v>
      </c>
    </row>
    <row r="76" spans="1:19" x14ac:dyDescent="0.2">
      <c r="A76" s="20">
        <v>46192</v>
      </c>
      <c r="B76" s="1">
        <v>46191</v>
      </c>
      <c r="C76" s="9" t="s">
        <v>16</v>
      </c>
      <c r="D76">
        <v>6265</v>
      </c>
      <c r="E76" t="s">
        <v>25</v>
      </c>
      <c r="F76" s="9" t="s">
        <v>26</v>
      </c>
      <c r="G76">
        <v>100.107</v>
      </c>
      <c r="H76" s="9">
        <v>100.125</v>
      </c>
      <c r="I76" t="s">
        <v>12</v>
      </c>
      <c r="J76" t="s">
        <v>69</v>
      </c>
      <c r="K76" t="s">
        <v>68</v>
      </c>
      <c r="L76" t="s">
        <v>69</v>
      </c>
      <c r="M76" t="s">
        <v>68</v>
      </c>
      <c r="N76">
        <f t="shared" si="3"/>
        <v>100.107</v>
      </c>
      <c r="O76">
        <v>100.107</v>
      </c>
      <c r="P76">
        <v>1.0010699999999999</v>
      </c>
      <c r="R76">
        <v>100.107</v>
      </c>
    </row>
    <row r="77" spans="1:19" x14ac:dyDescent="0.2">
      <c r="A77" s="21">
        <v>46192</v>
      </c>
      <c r="B77" s="1">
        <v>46191</v>
      </c>
      <c r="C77" s="9" t="s">
        <v>19</v>
      </c>
      <c r="D77">
        <v>6265</v>
      </c>
      <c r="E77" t="s">
        <v>25</v>
      </c>
      <c r="F77" s="9" t="s">
        <v>26</v>
      </c>
      <c r="G77">
        <v>100.107</v>
      </c>
      <c r="H77" s="9">
        <v>100.125</v>
      </c>
      <c r="I77" t="s">
        <v>12</v>
      </c>
      <c r="J77" t="s">
        <v>69</v>
      </c>
      <c r="K77" t="s">
        <v>68</v>
      </c>
      <c r="L77" t="s">
        <v>69</v>
      </c>
      <c r="M77" t="s">
        <v>68</v>
      </c>
      <c r="N77">
        <f t="shared" si="3"/>
        <v>100.107</v>
      </c>
      <c r="O77">
        <v>100.107</v>
      </c>
      <c r="P77">
        <v>1.0010699999999999</v>
      </c>
      <c r="R77">
        <v>100.107</v>
      </c>
    </row>
    <row r="78" spans="1:19" x14ac:dyDescent="0.2">
      <c r="A78" s="21">
        <v>46192</v>
      </c>
      <c r="B78" s="1">
        <v>46191</v>
      </c>
      <c r="C78" s="9" t="s">
        <v>17</v>
      </c>
      <c r="D78">
        <v>6265</v>
      </c>
      <c r="E78" t="s">
        <v>25</v>
      </c>
      <c r="F78" s="9" t="s">
        <v>26</v>
      </c>
      <c r="G78">
        <v>100.107</v>
      </c>
      <c r="H78" s="9">
        <v>100.125</v>
      </c>
      <c r="I78" t="s">
        <v>12</v>
      </c>
      <c r="J78" t="s">
        <v>69</v>
      </c>
      <c r="K78" t="s">
        <v>68</v>
      </c>
      <c r="L78" t="s">
        <v>69</v>
      </c>
      <c r="M78" t="s">
        <v>68</v>
      </c>
      <c r="N78">
        <f t="shared" si="3"/>
        <v>100.107</v>
      </c>
      <c r="O78">
        <v>100.107</v>
      </c>
      <c r="P78">
        <v>1.0010699999999999</v>
      </c>
      <c r="R78">
        <v>100.107</v>
      </c>
    </row>
    <row r="79" spans="1:19" x14ac:dyDescent="0.2">
      <c r="A79" s="21">
        <v>46192</v>
      </c>
      <c r="B79" s="1">
        <v>46191</v>
      </c>
      <c r="C79" s="9" t="s">
        <v>18</v>
      </c>
      <c r="D79">
        <v>6265</v>
      </c>
      <c r="E79" t="s">
        <v>25</v>
      </c>
      <c r="F79" s="9" t="s">
        <v>26</v>
      </c>
      <c r="G79">
        <v>100.107</v>
      </c>
      <c r="H79" s="9">
        <v>100.125</v>
      </c>
      <c r="I79" t="s">
        <v>12</v>
      </c>
      <c r="J79" t="s">
        <v>69</v>
      </c>
      <c r="K79" t="s">
        <v>68</v>
      </c>
      <c r="L79" t="s">
        <v>69</v>
      </c>
      <c r="M79" t="s">
        <v>68</v>
      </c>
      <c r="N79">
        <f t="shared" si="3"/>
        <v>100.107</v>
      </c>
      <c r="O79">
        <v>100.107</v>
      </c>
      <c r="P79">
        <v>1.0010699999999999</v>
      </c>
      <c r="R79">
        <v>100.107</v>
      </c>
    </row>
    <row r="80" spans="1:19" ht="16.5" x14ac:dyDescent="0.2">
      <c r="A80" s="10">
        <v>46204</v>
      </c>
      <c r="B80" s="1">
        <v>46204</v>
      </c>
      <c r="C80" s="9" t="s">
        <v>35</v>
      </c>
      <c r="D80">
        <v>7146</v>
      </c>
      <c r="E80" t="s">
        <v>42</v>
      </c>
      <c r="F80" s="9" t="s">
        <v>43</v>
      </c>
      <c r="G80">
        <v>100.02500000000001</v>
      </c>
      <c r="H80" s="9">
        <v>99.998599999999996</v>
      </c>
      <c r="I80" t="s">
        <v>44</v>
      </c>
      <c r="J80" t="s">
        <v>69</v>
      </c>
      <c r="K80" t="s">
        <v>69</v>
      </c>
      <c r="L80" t="s">
        <v>69</v>
      </c>
      <c r="N80">
        <f t="shared" si="3"/>
        <v>100.02500000000001</v>
      </c>
      <c r="O80">
        <v>99.998599999999996</v>
      </c>
      <c r="Q80">
        <v>1.0002500000000001</v>
      </c>
      <c r="S80" s="12"/>
    </row>
    <row r="81" spans="1:19" x14ac:dyDescent="0.2">
      <c r="A81" s="21">
        <v>46204</v>
      </c>
      <c r="B81" s="1">
        <v>46204</v>
      </c>
      <c r="C81" s="9" t="s">
        <v>20</v>
      </c>
      <c r="D81">
        <v>7169</v>
      </c>
      <c r="E81" t="s">
        <v>40</v>
      </c>
      <c r="F81" s="9" t="s">
        <v>41</v>
      </c>
      <c r="G81">
        <v>100.708</v>
      </c>
      <c r="H81" s="9">
        <v>100.417</v>
      </c>
      <c r="I81" t="s">
        <v>12</v>
      </c>
      <c r="J81" t="s">
        <v>68</v>
      </c>
      <c r="K81" t="s">
        <v>68</v>
      </c>
      <c r="L81" t="s">
        <v>69</v>
      </c>
      <c r="M81" t="s">
        <v>69</v>
      </c>
      <c r="N81">
        <v>100.417</v>
      </c>
      <c r="O81">
        <v>100.083</v>
      </c>
      <c r="P81">
        <v>1.00417</v>
      </c>
      <c r="R81">
        <v>100.417</v>
      </c>
    </row>
    <row r="82" spans="1:19" x14ac:dyDescent="0.2">
      <c r="A82" s="20">
        <v>46204</v>
      </c>
      <c r="B82" s="1">
        <v>46204</v>
      </c>
      <c r="C82" s="9" t="s">
        <v>140</v>
      </c>
      <c r="D82">
        <v>7169</v>
      </c>
      <c r="E82" t="s">
        <v>40</v>
      </c>
      <c r="F82" s="9" t="s">
        <v>41</v>
      </c>
      <c r="G82">
        <v>100.708</v>
      </c>
      <c r="H82" s="9">
        <v>100.417</v>
      </c>
      <c r="I82" t="s">
        <v>12</v>
      </c>
      <c r="J82" t="s">
        <v>68</v>
      </c>
      <c r="K82" t="s">
        <v>68</v>
      </c>
      <c r="L82" t="s">
        <v>69</v>
      </c>
      <c r="M82" t="s">
        <v>69</v>
      </c>
      <c r="N82">
        <v>100.417</v>
      </c>
      <c r="O82">
        <v>100.083</v>
      </c>
      <c r="P82">
        <v>1.00417</v>
      </c>
      <c r="R82">
        <v>100.417</v>
      </c>
    </row>
    <row r="83" spans="1:19" x14ac:dyDescent="0.2">
      <c r="A83" s="21">
        <v>46204</v>
      </c>
      <c r="B83" s="1">
        <v>46204</v>
      </c>
      <c r="C83" s="9" t="s">
        <v>15</v>
      </c>
      <c r="D83">
        <v>7169</v>
      </c>
      <c r="E83" t="s">
        <v>40</v>
      </c>
      <c r="F83" s="9" t="s">
        <v>41</v>
      </c>
      <c r="G83">
        <v>100.708</v>
      </c>
      <c r="H83" s="9">
        <v>100.417</v>
      </c>
      <c r="I83" t="s">
        <v>12</v>
      </c>
      <c r="J83" t="s">
        <v>68</v>
      </c>
      <c r="K83" t="s">
        <v>68</v>
      </c>
      <c r="L83" t="s">
        <v>69</v>
      </c>
      <c r="M83" t="s">
        <v>69</v>
      </c>
      <c r="N83">
        <v>100.417</v>
      </c>
      <c r="O83">
        <v>100.083</v>
      </c>
      <c r="P83">
        <v>1.00417</v>
      </c>
      <c r="R83">
        <v>100.417</v>
      </c>
    </row>
    <row r="84" spans="1:19" x14ac:dyDescent="0.2">
      <c r="A84" s="20">
        <v>46204</v>
      </c>
      <c r="B84" s="1">
        <v>46204</v>
      </c>
      <c r="C84" s="9" t="s">
        <v>16</v>
      </c>
      <c r="D84">
        <v>7169</v>
      </c>
      <c r="E84" t="s">
        <v>40</v>
      </c>
      <c r="F84" s="9" t="s">
        <v>41</v>
      </c>
      <c r="G84">
        <v>100.708</v>
      </c>
      <c r="H84" s="9">
        <v>100.417</v>
      </c>
      <c r="I84" t="s">
        <v>12</v>
      </c>
      <c r="J84" t="s">
        <v>68</v>
      </c>
      <c r="K84" t="s">
        <v>68</v>
      </c>
      <c r="L84" t="s">
        <v>69</v>
      </c>
      <c r="M84" t="s">
        <v>69</v>
      </c>
      <c r="N84">
        <v>100.417</v>
      </c>
      <c r="O84">
        <v>100.083</v>
      </c>
      <c r="P84">
        <v>1.00417</v>
      </c>
      <c r="R84">
        <v>100.417</v>
      </c>
    </row>
    <row r="85" spans="1:19" x14ac:dyDescent="0.2">
      <c r="A85" s="21">
        <v>46204</v>
      </c>
      <c r="B85" s="1">
        <v>46204</v>
      </c>
      <c r="C85" s="9" t="s">
        <v>19</v>
      </c>
      <c r="D85">
        <v>7169</v>
      </c>
      <c r="E85" t="s">
        <v>40</v>
      </c>
      <c r="F85" s="9" t="s">
        <v>41</v>
      </c>
      <c r="G85">
        <v>100.708</v>
      </c>
      <c r="H85" s="9">
        <v>100.417</v>
      </c>
      <c r="I85" t="s">
        <v>12</v>
      </c>
      <c r="J85" t="s">
        <v>68</v>
      </c>
      <c r="K85" t="s">
        <v>68</v>
      </c>
      <c r="L85" t="s">
        <v>69</v>
      </c>
      <c r="M85" t="s">
        <v>69</v>
      </c>
      <c r="N85">
        <v>100.417</v>
      </c>
      <c r="O85">
        <v>100.083</v>
      </c>
      <c r="P85">
        <v>1.00417</v>
      </c>
      <c r="R85">
        <v>100.417</v>
      </c>
    </row>
    <row r="86" spans="1:19" x14ac:dyDescent="0.2">
      <c r="A86" s="21">
        <v>46204</v>
      </c>
      <c r="B86" s="1">
        <v>46204</v>
      </c>
      <c r="C86" s="9" t="s">
        <v>17</v>
      </c>
      <c r="D86">
        <v>7169</v>
      </c>
      <c r="E86" t="s">
        <v>40</v>
      </c>
      <c r="F86" s="9" t="s">
        <v>41</v>
      </c>
      <c r="G86">
        <v>100.708</v>
      </c>
      <c r="H86" s="9">
        <v>100.417</v>
      </c>
      <c r="I86" t="s">
        <v>12</v>
      </c>
      <c r="J86" t="s">
        <v>68</v>
      </c>
      <c r="K86" t="s">
        <v>68</v>
      </c>
      <c r="L86" t="s">
        <v>69</v>
      </c>
      <c r="M86" t="s">
        <v>69</v>
      </c>
      <c r="N86">
        <v>100.417</v>
      </c>
      <c r="O86">
        <v>100.083</v>
      </c>
      <c r="P86">
        <v>1.00417</v>
      </c>
      <c r="R86">
        <v>100.417</v>
      </c>
    </row>
    <row r="87" spans="1:19" x14ac:dyDescent="0.2">
      <c r="A87" s="21">
        <v>46204</v>
      </c>
      <c r="B87" s="1">
        <v>46204</v>
      </c>
      <c r="C87" s="9" t="s">
        <v>18</v>
      </c>
      <c r="D87">
        <v>7169</v>
      </c>
      <c r="E87" t="s">
        <v>40</v>
      </c>
      <c r="F87" s="9" t="s">
        <v>41</v>
      </c>
      <c r="G87">
        <v>100.708</v>
      </c>
      <c r="H87" s="9">
        <v>100.417</v>
      </c>
      <c r="I87" t="s">
        <v>12</v>
      </c>
      <c r="J87" t="s">
        <v>68</v>
      </c>
      <c r="K87" t="s">
        <v>68</v>
      </c>
      <c r="L87" t="s">
        <v>69</v>
      </c>
      <c r="M87" t="s">
        <v>69</v>
      </c>
      <c r="N87">
        <v>100.417</v>
      </c>
      <c r="O87">
        <v>100.083</v>
      </c>
      <c r="P87">
        <v>1.00417</v>
      </c>
      <c r="R87">
        <v>100.417</v>
      </c>
    </row>
    <row r="88" spans="1:19" x14ac:dyDescent="0.2">
      <c r="A88" s="10">
        <v>46204</v>
      </c>
      <c r="B88" s="1">
        <v>46204</v>
      </c>
      <c r="C88" s="9" t="s">
        <v>35</v>
      </c>
      <c r="D88">
        <v>7144</v>
      </c>
      <c r="E88" t="s">
        <v>45</v>
      </c>
      <c r="F88" s="9" t="s">
        <v>46</v>
      </c>
      <c r="G88">
        <v>100.015</v>
      </c>
      <c r="H88" s="9">
        <v>99.974999999999994</v>
      </c>
      <c r="I88" t="s">
        <v>44</v>
      </c>
      <c r="J88" t="s">
        <v>69</v>
      </c>
      <c r="K88" t="s">
        <v>68</v>
      </c>
      <c r="L88" t="s">
        <v>69</v>
      </c>
      <c r="N88">
        <f t="shared" ref="N88:N101" si="4">+G88</f>
        <v>100.015</v>
      </c>
      <c r="O88">
        <v>100.083</v>
      </c>
      <c r="Q88">
        <v>1.0001500000000001</v>
      </c>
    </row>
    <row r="89" spans="1:19" s="16" customFormat="1" ht="16.5" x14ac:dyDescent="0.2">
      <c r="A89" s="21">
        <v>46205</v>
      </c>
      <c r="B89" s="1">
        <v>46205</v>
      </c>
      <c r="C89" s="16" t="s">
        <v>20</v>
      </c>
      <c r="D89">
        <v>7169</v>
      </c>
      <c r="E89" t="s">
        <v>40</v>
      </c>
      <c r="F89" s="16" t="s">
        <v>41</v>
      </c>
      <c r="G89" s="16">
        <v>100.729</v>
      </c>
      <c r="H89" s="16">
        <v>100.271</v>
      </c>
      <c r="I89" s="16" t="s">
        <v>12</v>
      </c>
      <c r="J89" s="16" t="s">
        <v>68</v>
      </c>
      <c r="K89" s="16" t="s">
        <v>68</v>
      </c>
      <c r="L89" s="16" t="s">
        <v>68</v>
      </c>
      <c r="M89" s="16" t="s">
        <v>68</v>
      </c>
      <c r="N89" s="16">
        <f t="shared" si="4"/>
        <v>100.729</v>
      </c>
      <c r="O89" s="16">
        <v>100.271</v>
      </c>
      <c r="P89" s="16">
        <v>1.00271</v>
      </c>
      <c r="R89" s="16">
        <v>100.271</v>
      </c>
      <c r="S89" s="17"/>
    </row>
    <row r="90" spans="1:19" s="16" customFormat="1" ht="16.5" x14ac:dyDescent="0.2">
      <c r="A90" s="15">
        <v>46205</v>
      </c>
      <c r="B90" s="1">
        <v>46205</v>
      </c>
      <c r="C90" s="9" t="s">
        <v>140</v>
      </c>
      <c r="D90">
        <v>7169</v>
      </c>
      <c r="E90" t="s">
        <v>40</v>
      </c>
      <c r="F90" s="16" t="s">
        <v>41</v>
      </c>
      <c r="G90" s="16">
        <v>100.729</v>
      </c>
      <c r="H90" s="16">
        <v>100.271</v>
      </c>
      <c r="I90" s="16" t="s">
        <v>12</v>
      </c>
      <c r="J90" s="16" t="s">
        <v>68</v>
      </c>
      <c r="K90" s="16" t="s">
        <v>68</v>
      </c>
      <c r="L90" s="16" t="s">
        <v>68</v>
      </c>
      <c r="M90" s="16" t="s">
        <v>68</v>
      </c>
      <c r="N90" s="16">
        <f t="shared" si="4"/>
        <v>100.729</v>
      </c>
      <c r="O90" s="16">
        <v>100.271</v>
      </c>
      <c r="P90" s="16">
        <v>1.00271</v>
      </c>
      <c r="R90" s="16">
        <v>100.271</v>
      </c>
      <c r="S90" s="17"/>
    </row>
    <row r="91" spans="1:19" s="16" customFormat="1" ht="16.5" x14ac:dyDescent="0.2">
      <c r="A91" s="21">
        <v>46205</v>
      </c>
      <c r="B91" s="1">
        <v>46205</v>
      </c>
      <c r="C91" s="16" t="s">
        <v>15</v>
      </c>
      <c r="D91">
        <v>7169</v>
      </c>
      <c r="E91" t="s">
        <v>40</v>
      </c>
      <c r="F91" s="16" t="s">
        <v>41</v>
      </c>
      <c r="G91" s="16">
        <v>100.729</v>
      </c>
      <c r="H91" s="16">
        <v>100.271</v>
      </c>
      <c r="I91" s="16" t="s">
        <v>12</v>
      </c>
      <c r="J91" s="16" t="s">
        <v>68</v>
      </c>
      <c r="K91" s="16" t="s">
        <v>68</v>
      </c>
      <c r="L91" s="16" t="s">
        <v>68</v>
      </c>
      <c r="M91" s="16" t="s">
        <v>68</v>
      </c>
      <c r="N91" s="16">
        <f t="shared" si="4"/>
        <v>100.729</v>
      </c>
      <c r="O91" s="16">
        <v>100.271</v>
      </c>
      <c r="P91" s="16">
        <v>1.00271</v>
      </c>
      <c r="R91" s="16">
        <v>100.271</v>
      </c>
      <c r="S91" s="17"/>
    </row>
    <row r="92" spans="1:19" s="16" customFormat="1" ht="16.5" x14ac:dyDescent="0.2">
      <c r="A92" s="15">
        <v>46205</v>
      </c>
      <c r="B92" s="1">
        <v>46205</v>
      </c>
      <c r="C92" s="16" t="s">
        <v>16</v>
      </c>
      <c r="D92">
        <v>7169</v>
      </c>
      <c r="E92" t="s">
        <v>40</v>
      </c>
      <c r="F92" s="16" t="s">
        <v>41</v>
      </c>
      <c r="G92" s="16">
        <v>100.729</v>
      </c>
      <c r="H92" s="16">
        <v>100.271</v>
      </c>
      <c r="I92" s="16" t="s">
        <v>12</v>
      </c>
      <c r="J92" s="16" t="s">
        <v>68</v>
      </c>
      <c r="K92" s="16" t="s">
        <v>68</v>
      </c>
      <c r="L92" s="16" t="s">
        <v>68</v>
      </c>
      <c r="M92" s="16" t="s">
        <v>68</v>
      </c>
      <c r="N92" s="16">
        <f t="shared" si="4"/>
        <v>100.729</v>
      </c>
      <c r="O92" s="16">
        <v>100.271</v>
      </c>
      <c r="P92" s="16">
        <v>1.00271</v>
      </c>
      <c r="R92" s="16">
        <v>100.271</v>
      </c>
      <c r="S92" s="17"/>
    </row>
    <row r="93" spans="1:19" s="16" customFormat="1" ht="16.5" x14ac:dyDescent="0.2">
      <c r="A93" s="21">
        <v>46205</v>
      </c>
      <c r="B93" s="1">
        <v>46205</v>
      </c>
      <c r="C93" s="16" t="s">
        <v>19</v>
      </c>
      <c r="D93">
        <v>7169</v>
      </c>
      <c r="E93" t="s">
        <v>40</v>
      </c>
      <c r="F93" s="16" t="s">
        <v>41</v>
      </c>
      <c r="G93" s="16">
        <v>100.729</v>
      </c>
      <c r="H93" s="16">
        <v>100.271</v>
      </c>
      <c r="I93" s="16" t="s">
        <v>12</v>
      </c>
      <c r="J93" s="16" t="s">
        <v>68</v>
      </c>
      <c r="K93" s="16" t="s">
        <v>68</v>
      </c>
      <c r="L93" s="16" t="s">
        <v>68</v>
      </c>
      <c r="M93" s="16" t="s">
        <v>68</v>
      </c>
      <c r="N93" s="16">
        <f t="shared" si="4"/>
        <v>100.729</v>
      </c>
      <c r="O93" s="16">
        <v>100.271</v>
      </c>
      <c r="P93" s="16">
        <v>1.00271</v>
      </c>
      <c r="R93" s="16">
        <v>100.271</v>
      </c>
      <c r="S93" s="17"/>
    </row>
    <row r="94" spans="1:19" s="16" customFormat="1" ht="16.5" x14ac:dyDescent="0.2">
      <c r="A94" s="21">
        <v>46205</v>
      </c>
      <c r="B94" s="1">
        <v>46205</v>
      </c>
      <c r="C94" s="16" t="s">
        <v>17</v>
      </c>
      <c r="D94">
        <v>7169</v>
      </c>
      <c r="E94" t="s">
        <v>40</v>
      </c>
      <c r="F94" s="16" t="s">
        <v>41</v>
      </c>
      <c r="G94" s="16">
        <v>100.729</v>
      </c>
      <c r="H94" s="16">
        <v>100.271</v>
      </c>
      <c r="I94" s="16" t="s">
        <v>12</v>
      </c>
      <c r="J94" s="16" t="s">
        <v>68</v>
      </c>
      <c r="K94" s="16" t="s">
        <v>68</v>
      </c>
      <c r="L94" s="16" t="s">
        <v>68</v>
      </c>
      <c r="M94" s="16" t="s">
        <v>68</v>
      </c>
      <c r="N94" s="16">
        <f t="shared" si="4"/>
        <v>100.729</v>
      </c>
      <c r="O94" s="16">
        <v>100.271</v>
      </c>
      <c r="P94" s="16">
        <v>1.00271</v>
      </c>
      <c r="R94" s="16">
        <v>100.271</v>
      </c>
      <c r="S94" s="17"/>
    </row>
    <row r="95" spans="1:19" s="16" customFormat="1" ht="16.5" x14ac:dyDescent="0.2">
      <c r="A95" s="21">
        <v>46205</v>
      </c>
      <c r="B95" s="1">
        <v>46205</v>
      </c>
      <c r="C95" s="16" t="s">
        <v>18</v>
      </c>
      <c r="D95">
        <v>7169</v>
      </c>
      <c r="E95" t="s">
        <v>40</v>
      </c>
      <c r="F95" s="16" t="s">
        <v>41</v>
      </c>
      <c r="G95" s="16">
        <v>100.729</v>
      </c>
      <c r="H95" s="16">
        <v>100.271</v>
      </c>
      <c r="I95" s="16" t="s">
        <v>12</v>
      </c>
      <c r="J95" s="16" t="s">
        <v>68</v>
      </c>
      <c r="K95" s="16" t="s">
        <v>68</v>
      </c>
      <c r="L95" s="16" t="s">
        <v>68</v>
      </c>
      <c r="M95" s="16" t="s">
        <v>68</v>
      </c>
      <c r="N95" s="16">
        <f t="shared" si="4"/>
        <v>100.729</v>
      </c>
      <c r="O95" s="16">
        <v>100.271</v>
      </c>
      <c r="P95" s="16">
        <v>1.00271</v>
      </c>
      <c r="R95" s="16">
        <v>100.271</v>
      </c>
      <c r="S95" s="17"/>
    </row>
    <row r="96" spans="1:19" s="16" customFormat="1" ht="16.5" x14ac:dyDescent="0.2">
      <c r="A96" s="21">
        <v>46206</v>
      </c>
      <c r="B96" s="1">
        <v>46205</v>
      </c>
      <c r="C96" s="16" t="s">
        <v>20</v>
      </c>
      <c r="D96">
        <v>7169</v>
      </c>
      <c r="E96" t="s">
        <v>40</v>
      </c>
      <c r="F96" s="16" t="s">
        <v>41</v>
      </c>
      <c r="G96" s="16">
        <v>100.729</v>
      </c>
      <c r="H96" s="16">
        <v>100.271</v>
      </c>
      <c r="I96" s="16" t="s">
        <v>12</v>
      </c>
      <c r="J96" s="16" t="s">
        <v>68</v>
      </c>
      <c r="K96" s="16" t="s">
        <v>68</v>
      </c>
      <c r="L96" s="16" t="s">
        <v>68</v>
      </c>
      <c r="M96" s="16" t="s">
        <v>68</v>
      </c>
      <c r="N96" s="16">
        <f t="shared" si="4"/>
        <v>100.729</v>
      </c>
      <c r="O96" s="16">
        <v>100.271</v>
      </c>
      <c r="P96" s="16">
        <v>1.00271</v>
      </c>
      <c r="R96" s="16">
        <v>100.271</v>
      </c>
      <c r="S96" s="17"/>
    </row>
    <row r="97" spans="1:19" s="16" customFormat="1" ht="16.5" x14ac:dyDescent="0.2">
      <c r="A97" s="15">
        <v>46206</v>
      </c>
      <c r="B97" s="1">
        <v>46205</v>
      </c>
      <c r="C97" s="9" t="s">
        <v>140</v>
      </c>
      <c r="D97">
        <v>7169</v>
      </c>
      <c r="E97" t="s">
        <v>40</v>
      </c>
      <c r="F97" s="16" t="s">
        <v>41</v>
      </c>
      <c r="G97" s="16">
        <v>100.729</v>
      </c>
      <c r="H97" s="16">
        <v>100.271</v>
      </c>
      <c r="I97" s="16" t="s">
        <v>12</v>
      </c>
      <c r="J97" s="16" t="s">
        <v>68</v>
      </c>
      <c r="K97" s="16" t="s">
        <v>68</v>
      </c>
      <c r="L97" s="16" t="s">
        <v>68</v>
      </c>
      <c r="M97" s="16" t="s">
        <v>68</v>
      </c>
      <c r="N97" s="16">
        <f t="shared" si="4"/>
        <v>100.729</v>
      </c>
      <c r="O97" s="16">
        <v>100.271</v>
      </c>
      <c r="P97" s="16">
        <v>1.00271</v>
      </c>
      <c r="R97" s="16">
        <v>100.271</v>
      </c>
      <c r="S97" s="17"/>
    </row>
    <row r="98" spans="1:19" s="16" customFormat="1" ht="16.5" x14ac:dyDescent="0.2">
      <c r="A98" s="21">
        <v>46206</v>
      </c>
      <c r="B98" s="1">
        <v>46205</v>
      </c>
      <c r="C98" s="16" t="s">
        <v>15</v>
      </c>
      <c r="D98">
        <v>7169</v>
      </c>
      <c r="E98" t="s">
        <v>40</v>
      </c>
      <c r="F98" s="16" t="s">
        <v>41</v>
      </c>
      <c r="G98" s="16">
        <v>100.729</v>
      </c>
      <c r="H98" s="16">
        <v>100.271</v>
      </c>
      <c r="I98" s="16" t="s">
        <v>12</v>
      </c>
      <c r="J98" s="16" t="s">
        <v>68</v>
      </c>
      <c r="K98" s="16" t="s">
        <v>68</v>
      </c>
      <c r="L98" s="16" t="s">
        <v>68</v>
      </c>
      <c r="M98" s="16" t="s">
        <v>68</v>
      </c>
      <c r="N98" s="16">
        <f t="shared" si="4"/>
        <v>100.729</v>
      </c>
      <c r="O98" s="16">
        <v>100.271</v>
      </c>
      <c r="P98" s="16">
        <v>1.00271</v>
      </c>
      <c r="R98" s="16">
        <v>100.271</v>
      </c>
      <c r="S98" s="17"/>
    </row>
    <row r="99" spans="1:19" s="16" customFormat="1" ht="16.5" x14ac:dyDescent="0.2">
      <c r="A99" s="15">
        <v>46206</v>
      </c>
      <c r="B99" s="1">
        <v>46205</v>
      </c>
      <c r="C99" s="16" t="s">
        <v>16</v>
      </c>
      <c r="D99">
        <v>7169</v>
      </c>
      <c r="E99" t="s">
        <v>40</v>
      </c>
      <c r="F99" s="16" t="s">
        <v>41</v>
      </c>
      <c r="G99" s="16">
        <v>100.729</v>
      </c>
      <c r="H99" s="16">
        <v>100.271</v>
      </c>
      <c r="I99" s="16" t="s">
        <v>12</v>
      </c>
      <c r="J99" s="16" t="s">
        <v>68</v>
      </c>
      <c r="K99" s="16" t="s">
        <v>68</v>
      </c>
      <c r="L99" s="16" t="s">
        <v>68</v>
      </c>
      <c r="M99" s="16" t="s">
        <v>68</v>
      </c>
      <c r="N99" s="16">
        <f t="shared" si="4"/>
        <v>100.729</v>
      </c>
      <c r="O99" s="16">
        <v>100.271</v>
      </c>
      <c r="P99" s="16">
        <v>1.00271</v>
      </c>
      <c r="R99" s="16">
        <v>100.271</v>
      </c>
      <c r="S99" s="17"/>
    </row>
    <row r="100" spans="1:19" s="16" customFormat="1" ht="16.5" x14ac:dyDescent="0.2">
      <c r="A100" s="21">
        <v>46206</v>
      </c>
      <c r="B100" s="1">
        <v>46205</v>
      </c>
      <c r="C100" s="16" t="s">
        <v>19</v>
      </c>
      <c r="D100">
        <v>7169</v>
      </c>
      <c r="E100" t="s">
        <v>40</v>
      </c>
      <c r="F100" s="16" t="s">
        <v>41</v>
      </c>
      <c r="G100" s="16">
        <v>100.729</v>
      </c>
      <c r="H100" s="16">
        <v>100.271</v>
      </c>
      <c r="I100" s="16" t="s">
        <v>12</v>
      </c>
      <c r="J100" s="16" t="s">
        <v>68</v>
      </c>
      <c r="K100" s="16" t="s">
        <v>68</v>
      </c>
      <c r="L100" s="16" t="s">
        <v>68</v>
      </c>
      <c r="M100" s="16" t="s">
        <v>68</v>
      </c>
      <c r="N100" s="16">
        <f t="shared" si="4"/>
        <v>100.729</v>
      </c>
      <c r="O100" s="16">
        <v>100.271</v>
      </c>
      <c r="P100" s="16">
        <v>1.00271</v>
      </c>
      <c r="R100" s="16">
        <v>100.271</v>
      </c>
      <c r="S100" s="17"/>
    </row>
    <row r="101" spans="1:19" s="16" customFormat="1" ht="16.5" x14ac:dyDescent="0.2">
      <c r="A101" s="21">
        <v>46206</v>
      </c>
      <c r="B101" s="1">
        <v>46205</v>
      </c>
      <c r="C101" s="16" t="s">
        <v>17</v>
      </c>
      <c r="D101">
        <v>7169</v>
      </c>
      <c r="E101" t="s">
        <v>40</v>
      </c>
      <c r="F101" s="16" t="s">
        <v>41</v>
      </c>
      <c r="G101" s="16">
        <v>100.729</v>
      </c>
      <c r="H101" s="16">
        <v>100.271</v>
      </c>
      <c r="I101" s="16" t="s">
        <v>12</v>
      </c>
      <c r="J101" s="16" t="s">
        <v>68</v>
      </c>
      <c r="K101" s="16" t="s">
        <v>68</v>
      </c>
      <c r="L101" s="16" t="s">
        <v>68</v>
      </c>
      <c r="M101" s="16" t="s">
        <v>68</v>
      </c>
      <c r="N101" s="16">
        <f t="shared" si="4"/>
        <v>100.729</v>
      </c>
      <c r="O101" s="16">
        <v>100.271</v>
      </c>
      <c r="P101" s="16">
        <v>1.00271</v>
      </c>
      <c r="R101" s="16">
        <v>100.271</v>
      </c>
      <c r="S101" s="17"/>
    </row>
    <row r="102" spans="1:19" s="16" customFormat="1" ht="16.5" x14ac:dyDescent="0.2">
      <c r="A102" s="21">
        <v>46206</v>
      </c>
      <c r="B102" s="1">
        <v>46205</v>
      </c>
      <c r="C102" s="16" t="s">
        <v>18</v>
      </c>
      <c r="D102">
        <v>7169</v>
      </c>
      <c r="E102" t="s">
        <v>40</v>
      </c>
      <c r="F102" s="16" t="s">
        <v>41</v>
      </c>
      <c r="G102" s="16">
        <v>100.729</v>
      </c>
      <c r="H102" s="16">
        <v>100.271</v>
      </c>
      <c r="I102" s="16" t="s">
        <v>12</v>
      </c>
      <c r="J102" s="16" t="s">
        <v>68</v>
      </c>
      <c r="K102" s="16" t="s">
        <v>68</v>
      </c>
      <c r="L102" s="16" t="s">
        <v>68</v>
      </c>
      <c r="M102" s="16" t="s">
        <v>68</v>
      </c>
      <c r="N102" s="16">
        <f t="shared" ref="N102" si="5">+G102</f>
        <v>100.729</v>
      </c>
      <c r="O102" s="16">
        <v>100.271</v>
      </c>
      <c r="P102" s="16">
        <v>1.00271</v>
      </c>
      <c r="R102" s="16">
        <v>100.271</v>
      </c>
      <c r="S102" s="17"/>
    </row>
  </sheetData>
  <autoFilter ref="A1:R102" xr:uid="{00000000-0001-0000-0000-000000000000}"/>
  <sortState xmlns:xlrd2="http://schemas.microsoft.com/office/spreadsheetml/2017/richdata2" ref="A2:R102">
    <sortCondition ref="A2:A102"/>
    <sortCondition ref="E2:E102"/>
    <sortCondition ref="C2:C102"/>
  </sortState>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0C143-7086-4D02-84E4-806B054B863A}">
  <dimension ref="A1:C18"/>
  <sheetViews>
    <sheetView tabSelected="1" workbookViewId="0">
      <selection activeCell="J32" sqref="J32"/>
    </sheetView>
  </sheetViews>
  <sheetFormatPr defaultRowHeight="12.75" x14ac:dyDescent="0.2"/>
  <cols>
    <col min="2" max="2" width="15" bestFit="1" customWidth="1"/>
    <col min="3" max="3" width="8" bestFit="1" customWidth="1"/>
  </cols>
  <sheetData>
    <row r="1" spans="1:3" x14ac:dyDescent="0.2">
      <c r="A1" t="s">
        <v>1</v>
      </c>
      <c r="B1" s="9" t="s">
        <v>5</v>
      </c>
      <c r="C1" s="9" t="s">
        <v>7</v>
      </c>
    </row>
    <row r="2" spans="1:3" x14ac:dyDescent="0.2">
      <c r="A2" s="1">
        <v>46188</v>
      </c>
      <c r="B2" s="9" t="s">
        <v>11</v>
      </c>
      <c r="C2" s="9">
        <v>99.924999999999997</v>
      </c>
    </row>
    <row r="3" spans="1:3" x14ac:dyDescent="0.2">
      <c r="A3" s="1">
        <v>46188</v>
      </c>
      <c r="B3" s="9" t="s">
        <v>14</v>
      </c>
      <c r="C3" s="9">
        <v>100.291</v>
      </c>
    </row>
    <row r="4" spans="1:3" x14ac:dyDescent="0.2">
      <c r="A4" s="1">
        <v>46189</v>
      </c>
      <c r="B4" s="9" t="s">
        <v>11</v>
      </c>
      <c r="C4" s="9">
        <v>99.92</v>
      </c>
    </row>
    <row r="5" spans="1:3" x14ac:dyDescent="0.2">
      <c r="A5" s="1">
        <v>46189</v>
      </c>
      <c r="B5" s="9" t="s">
        <v>14</v>
      </c>
      <c r="C5" s="9">
        <v>100.25</v>
      </c>
    </row>
    <row r="6" spans="1:3" x14ac:dyDescent="0.2">
      <c r="A6" s="1">
        <v>46191</v>
      </c>
      <c r="B6" s="9" t="s">
        <v>39</v>
      </c>
      <c r="C6" s="9">
        <v>0.124</v>
      </c>
    </row>
    <row r="7" spans="1:3" x14ac:dyDescent="0.2">
      <c r="A7" s="1">
        <v>46191</v>
      </c>
      <c r="B7" s="9" t="s">
        <v>24</v>
      </c>
      <c r="C7" s="9">
        <v>78.986999999999995</v>
      </c>
    </row>
    <row r="8" spans="1:3" x14ac:dyDescent="0.2">
      <c r="A8" s="1">
        <v>46191</v>
      </c>
      <c r="B8" s="9" t="s">
        <v>37</v>
      </c>
      <c r="C8" s="9">
        <v>0.124</v>
      </c>
    </row>
    <row r="9" spans="1:3" x14ac:dyDescent="0.2">
      <c r="A9" s="1">
        <v>46191</v>
      </c>
      <c r="B9" s="9" t="s">
        <v>28</v>
      </c>
      <c r="C9" s="9">
        <v>100.408</v>
      </c>
    </row>
    <row r="10" spans="1:3" x14ac:dyDescent="0.2">
      <c r="A10" s="1">
        <v>46191</v>
      </c>
      <c r="B10" s="9" t="s">
        <v>26</v>
      </c>
      <c r="C10" s="9">
        <v>100.125</v>
      </c>
    </row>
    <row r="11" spans="1:3" x14ac:dyDescent="0.2">
      <c r="A11" s="1">
        <v>46191</v>
      </c>
      <c r="B11" s="9" t="s">
        <v>32</v>
      </c>
      <c r="C11" s="9">
        <v>100.083</v>
      </c>
    </row>
    <row r="12" spans="1:3" x14ac:dyDescent="0.2">
      <c r="A12" s="1">
        <v>46191</v>
      </c>
      <c r="B12" s="9" t="s">
        <v>30</v>
      </c>
      <c r="C12" s="9">
        <v>100.02800000000001</v>
      </c>
    </row>
    <row r="13" spans="1:3" x14ac:dyDescent="0.2">
      <c r="A13" s="1">
        <v>46191</v>
      </c>
      <c r="B13" s="9" t="s">
        <v>34</v>
      </c>
      <c r="C13" s="9">
        <v>100.02800000000001</v>
      </c>
    </row>
    <row r="14" spans="1:3" x14ac:dyDescent="0.2">
      <c r="A14" s="1">
        <v>46191</v>
      </c>
      <c r="B14" s="9" t="s">
        <v>22</v>
      </c>
      <c r="C14" s="9">
        <v>100.208</v>
      </c>
    </row>
    <row r="15" spans="1:3" x14ac:dyDescent="0.2">
      <c r="A15" s="1">
        <v>46204</v>
      </c>
      <c r="B15" s="9" t="s">
        <v>43</v>
      </c>
      <c r="C15" s="9">
        <v>99.998599999999996</v>
      </c>
    </row>
    <row r="16" spans="1:3" x14ac:dyDescent="0.2">
      <c r="A16" s="1">
        <v>46204</v>
      </c>
      <c r="B16" s="9" t="s">
        <v>46</v>
      </c>
      <c r="C16" s="9">
        <v>99.974999999999994</v>
      </c>
    </row>
    <row r="17" spans="1:3" x14ac:dyDescent="0.2">
      <c r="A17" s="1">
        <v>46204</v>
      </c>
      <c r="B17" s="9" t="s">
        <v>41</v>
      </c>
      <c r="C17" s="9">
        <v>100.417</v>
      </c>
    </row>
    <row r="18" spans="1:3" x14ac:dyDescent="0.2">
      <c r="A18" s="1">
        <v>46205</v>
      </c>
      <c r="B18" s="16" t="s">
        <v>41</v>
      </c>
      <c r="C18" s="16">
        <v>100.271</v>
      </c>
    </row>
  </sheetData>
  <sortState xmlns:xlrd2="http://schemas.microsoft.com/office/spreadsheetml/2017/richdata2" ref="A2:C18">
    <sortCondition ref="A2:A1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FD3C1-08BE-4999-B5E5-E63608031B6E}">
  <dimension ref="A1:K117"/>
  <sheetViews>
    <sheetView topLeftCell="A16" workbookViewId="0">
      <selection activeCell="B41" sqref="B41:B47"/>
    </sheetView>
  </sheetViews>
  <sheetFormatPr defaultRowHeight="12.75" x14ac:dyDescent="0.2"/>
  <cols>
    <col min="1" max="1" width="9.140625" style="19"/>
    <col min="2" max="2" width="130.42578125" customWidth="1"/>
    <col min="3" max="3" width="16.42578125" customWidth="1"/>
    <col min="4" max="4" width="14.28515625" customWidth="1"/>
    <col min="5" max="5" width="23.7109375" customWidth="1"/>
  </cols>
  <sheetData>
    <row r="1" spans="1:11" x14ac:dyDescent="0.2">
      <c r="A1" s="19">
        <v>1</v>
      </c>
      <c r="B1" t="s">
        <v>137</v>
      </c>
    </row>
    <row r="2" spans="1:11" x14ac:dyDescent="0.2">
      <c r="B2" t="s">
        <v>0</v>
      </c>
      <c r="C2" t="s">
        <v>1</v>
      </c>
      <c r="D2" t="s">
        <v>2</v>
      </c>
      <c r="E2" t="s">
        <v>3</v>
      </c>
      <c r="F2" t="s">
        <v>4</v>
      </c>
      <c r="G2" t="s">
        <v>5</v>
      </c>
      <c r="H2" t="s">
        <v>6</v>
      </c>
      <c r="I2" t="s">
        <v>7</v>
      </c>
      <c r="J2" t="s">
        <v>8</v>
      </c>
    </row>
    <row r="3" spans="1:11" x14ac:dyDescent="0.2">
      <c r="B3">
        <v>46188</v>
      </c>
      <c r="C3">
        <v>46188</v>
      </c>
      <c r="D3" t="s">
        <v>20</v>
      </c>
      <c r="E3">
        <v>2282</v>
      </c>
      <c r="F3" t="s">
        <v>13</v>
      </c>
      <c r="G3" t="s">
        <v>14</v>
      </c>
      <c r="H3">
        <v>100.227</v>
      </c>
      <c r="I3">
        <v>100.291</v>
      </c>
      <c r="J3" t="s">
        <v>12</v>
      </c>
    </row>
    <row r="4" spans="1:11" x14ac:dyDescent="0.2">
      <c r="B4">
        <v>46188</v>
      </c>
      <c r="C4">
        <v>46188</v>
      </c>
      <c r="D4" t="s">
        <v>9</v>
      </c>
      <c r="E4">
        <v>2282</v>
      </c>
      <c r="F4" t="s">
        <v>13</v>
      </c>
      <c r="G4" t="s">
        <v>14</v>
      </c>
      <c r="H4">
        <v>100.227</v>
      </c>
      <c r="I4">
        <v>100.291</v>
      </c>
      <c r="J4" t="s">
        <v>12</v>
      </c>
    </row>
    <row r="5" spans="1:11" x14ac:dyDescent="0.2">
      <c r="B5">
        <v>46188</v>
      </c>
      <c r="C5">
        <v>46188</v>
      </c>
      <c r="D5" t="s">
        <v>15</v>
      </c>
      <c r="E5">
        <v>2282</v>
      </c>
      <c r="F5" t="s">
        <v>13</v>
      </c>
      <c r="G5" t="s">
        <v>14</v>
      </c>
      <c r="H5">
        <v>100.227</v>
      </c>
      <c r="I5">
        <v>100.291</v>
      </c>
      <c r="J5" t="s">
        <v>12</v>
      </c>
    </row>
    <row r="7" spans="1:11" x14ac:dyDescent="0.2">
      <c r="A7" s="19" t="s">
        <v>138</v>
      </c>
      <c r="B7" t="s">
        <v>139</v>
      </c>
    </row>
    <row r="8" spans="1:11" x14ac:dyDescent="0.2">
      <c r="B8" s="2" t="s">
        <v>65</v>
      </c>
      <c r="C8" s="2" t="s">
        <v>67</v>
      </c>
      <c r="D8" s="2" t="s">
        <v>66</v>
      </c>
      <c r="E8" s="2" t="s">
        <v>95</v>
      </c>
      <c r="F8" s="11" t="s">
        <v>6</v>
      </c>
      <c r="G8" s="11" t="s">
        <v>92</v>
      </c>
      <c r="H8" s="11" t="s">
        <v>93</v>
      </c>
      <c r="I8" s="11" t="s">
        <v>94</v>
      </c>
      <c r="J8" s="11" t="s">
        <v>90</v>
      </c>
      <c r="K8" s="11" t="s">
        <v>91</v>
      </c>
    </row>
    <row r="9" spans="1:11" x14ac:dyDescent="0.2">
      <c r="B9" t="s">
        <v>69</v>
      </c>
      <c r="C9" t="s">
        <v>69</v>
      </c>
      <c r="D9" t="s">
        <v>69</v>
      </c>
      <c r="E9" t="s">
        <v>68</v>
      </c>
      <c r="F9">
        <v>100.227</v>
      </c>
      <c r="G9">
        <v>100.291</v>
      </c>
      <c r="H9">
        <v>1.00227</v>
      </c>
      <c r="J9">
        <v>100.291</v>
      </c>
      <c r="K9">
        <v>100.48</v>
      </c>
    </row>
    <row r="10" spans="1:11" x14ac:dyDescent="0.2">
      <c r="B10" t="s">
        <v>69</v>
      </c>
      <c r="C10" t="s">
        <v>69</v>
      </c>
      <c r="D10" t="s">
        <v>69</v>
      </c>
      <c r="E10" t="s">
        <v>68</v>
      </c>
      <c r="F10">
        <v>100.227</v>
      </c>
      <c r="G10">
        <v>100.291</v>
      </c>
      <c r="H10">
        <v>1.00227</v>
      </c>
      <c r="J10">
        <v>100.291</v>
      </c>
      <c r="K10">
        <v>100.48</v>
      </c>
    </row>
    <row r="11" spans="1:11" x14ac:dyDescent="0.2">
      <c r="B11" t="s">
        <v>69</v>
      </c>
      <c r="C11" t="s">
        <v>69</v>
      </c>
      <c r="D11" t="s">
        <v>69</v>
      </c>
      <c r="E11" t="s">
        <v>68</v>
      </c>
      <c r="F11">
        <v>100.227</v>
      </c>
      <c r="G11">
        <v>100.291</v>
      </c>
      <c r="H11">
        <v>1.00227</v>
      </c>
      <c r="J11">
        <v>100.291</v>
      </c>
      <c r="K11">
        <v>100.48</v>
      </c>
    </row>
    <row r="12" spans="1:11" x14ac:dyDescent="0.2">
      <c r="B12" t="s">
        <v>69</v>
      </c>
      <c r="C12" t="s">
        <v>69</v>
      </c>
      <c r="D12" t="s">
        <v>69</v>
      </c>
      <c r="E12" t="s">
        <v>68</v>
      </c>
      <c r="F12">
        <v>100.227</v>
      </c>
      <c r="G12">
        <v>100.291</v>
      </c>
      <c r="H12">
        <v>1.00227</v>
      </c>
      <c r="J12">
        <v>100.291</v>
      </c>
      <c r="K12">
        <v>100.48</v>
      </c>
    </row>
    <row r="13" spans="1:11" x14ac:dyDescent="0.2">
      <c r="B13" t="s">
        <v>69</v>
      </c>
      <c r="C13" t="s">
        <v>69</v>
      </c>
      <c r="D13" t="s">
        <v>69</v>
      </c>
      <c r="E13" t="s">
        <v>68</v>
      </c>
      <c r="F13">
        <v>100.227</v>
      </c>
      <c r="G13">
        <v>100.291</v>
      </c>
      <c r="H13">
        <v>1.00227</v>
      </c>
      <c r="J13">
        <v>100.291</v>
      </c>
      <c r="K13">
        <v>100.48</v>
      </c>
    </row>
    <row r="14" spans="1:11" x14ac:dyDescent="0.2">
      <c r="B14" t="s">
        <v>69</v>
      </c>
      <c r="C14" t="s">
        <v>69</v>
      </c>
      <c r="D14" t="s">
        <v>69</v>
      </c>
      <c r="E14" t="s">
        <v>68</v>
      </c>
      <c r="F14">
        <v>100.227</v>
      </c>
      <c r="G14">
        <v>100.291</v>
      </c>
      <c r="H14">
        <v>1.00227</v>
      </c>
      <c r="J14">
        <v>100.291</v>
      </c>
      <c r="K14">
        <v>100.48</v>
      </c>
    </row>
    <row r="15" spans="1:11" x14ac:dyDescent="0.2">
      <c r="B15" t="s">
        <v>69</v>
      </c>
      <c r="C15" t="s">
        <v>69</v>
      </c>
      <c r="D15" t="s">
        <v>69</v>
      </c>
      <c r="E15" t="s">
        <v>68</v>
      </c>
      <c r="F15">
        <v>100.227</v>
      </c>
      <c r="G15">
        <v>100.291</v>
      </c>
      <c r="H15">
        <v>1.00227</v>
      </c>
      <c r="J15">
        <v>100.291</v>
      </c>
      <c r="K15">
        <v>100.48</v>
      </c>
    </row>
    <row r="16" spans="1:11" x14ac:dyDescent="0.2">
      <c r="B16" t="s">
        <v>69</v>
      </c>
      <c r="C16" t="s">
        <v>69</v>
      </c>
      <c r="D16" t="s">
        <v>69</v>
      </c>
      <c r="E16" t="s">
        <v>68</v>
      </c>
      <c r="F16">
        <v>100</v>
      </c>
      <c r="G16">
        <v>99.924999999999997</v>
      </c>
      <c r="H16">
        <v>1</v>
      </c>
      <c r="J16">
        <v>99.924999999999997</v>
      </c>
      <c r="K16">
        <v>100.09399999999999</v>
      </c>
    </row>
    <row r="17" spans="1:11" x14ac:dyDescent="0.2">
      <c r="B17" t="s">
        <v>69</v>
      </c>
      <c r="C17" t="s">
        <v>69</v>
      </c>
      <c r="D17" t="s">
        <v>69</v>
      </c>
      <c r="E17" t="s">
        <v>68</v>
      </c>
      <c r="F17">
        <v>100</v>
      </c>
      <c r="G17">
        <v>99.924999999999997</v>
      </c>
      <c r="H17">
        <v>1</v>
      </c>
      <c r="J17">
        <v>99.924999999999997</v>
      </c>
      <c r="K17">
        <v>100.09399999999999</v>
      </c>
    </row>
    <row r="18" spans="1:11" x14ac:dyDescent="0.2">
      <c r="B18" t="s">
        <v>69</v>
      </c>
      <c r="C18" t="s">
        <v>69</v>
      </c>
      <c r="D18" t="s">
        <v>69</v>
      </c>
      <c r="E18" t="s">
        <v>68</v>
      </c>
      <c r="F18">
        <v>100</v>
      </c>
      <c r="G18">
        <v>99.924999999999997</v>
      </c>
      <c r="H18">
        <v>1</v>
      </c>
      <c r="J18">
        <v>99.924999999999997</v>
      </c>
      <c r="K18">
        <v>100.09399999999999</v>
      </c>
    </row>
    <row r="19" spans="1:11" x14ac:dyDescent="0.2">
      <c r="B19" t="s">
        <v>69</v>
      </c>
      <c r="C19" t="s">
        <v>69</v>
      </c>
      <c r="D19" t="s">
        <v>69</v>
      </c>
      <c r="E19" t="s">
        <v>68</v>
      </c>
      <c r="F19">
        <v>100</v>
      </c>
      <c r="G19">
        <v>99.924999999999997</v>
      </c>
      <c r="H19">
        <v>1</v>
      </c>
      <c r="J19">
        <v>99.924999999999997</v>
      </c>
      <c r="K19">
        <v>100.09399999999999</v>
      </c>
    </row>
    <row r="20" spans="1:11" x14ac:dyDescent="0.2">
      <c r="B20" t="s">
        <v>69</v>
      </c>
      <c r="C20" t="s">
        <v>69</v>
      </c>
      <c r="D20" t="s">
        <v>69</v>
      </c>
      <c r="E20" t="s">
        <v>68</v>
      </c>
      <c r="F20">
        <v>100</v>
      </c>
      <c r="G20">
        <v>99.924999999999997</v>
      </c>
      <c r="H20">
        <v>1</v>
      </c>
      <c r="J20">
        <v>99.924999999999997</v>
      </c>
      <c r="K20">
        <v>100.09399999999999</v>
      </c>
    </row>
    <row r="21" spans="1:11" x14ac:dyDescent="0.2">
      <c r="B21" t="s">
        <v>69</v>
      </c>
      <c r="C21" t="s">
        <v>69</v>
      </c>
      <c r="D21" t="s">
        <v>69</v>
      </c>
      <c r="E21" t="s">
        <v>68</v>
      </c>
      <c r="F21">
        <v>100</v>
      </c>
      <c r="G21">
        <v>99.924999999999997</v>
      </c>
      <c r="H21">
        <v>1</v>
      </c>
      <c r="J21">
        <v>99.924999999999997</v>
      </c>
      <c r="K21">
        <v>100.09399999999999</v>
      </c>
    </row>
    <row r="22" spans="1:11" x14ac:dyDescent="0.2">
      <c r="B22" t="s">
        <v>69</v>
      </c>
      <c r="C22" t="s">
        <v>69</v>
      </c>
      <c r="D22" t="s">
        <v>69</v>
      </c>
      <c r="E22" t="s">
        <v>68</v>
      </c>
      <c r="F22">
        <v>100</v>
      </c>
      <c r="G22">
        <v>99.924999999999997</v>
      </c>
      <c r="H22">
        <v>1</v>
      </c>
      <c r="J22">
        <v>99.924999999999997</v>
      </c>
      <c r="K22">
        <v>100.09399999999999</v>
      </c>
    </row>
    <row r="23" spans="1:11" x14ac:dyDescent="0.2">
      <c r="B23" t="s">
        <v>69</v>
      </c>
      <c r="C23" t="s">
        <v>69</v>
      </c>
      <c r="D23" t="s">
        <v>69</v>
      </c>
      <c r="E23" t="s">
        <v>68</v>
      </c>
      <c r="F23">
        <v>100.227</v>
      </c>
      <c r="G23">
        <v>100.25</v>
      </c>
      <c r="H23">
        <v>1.00227</v>
      </c>
      <c r="J23">
        <v>100.25</v>
      </c>
      <c r="K23">
        <v>100.43899999999999</v>
      </c>
    </row>
    <row r="24" spans="1:11" x14ac:dyDescent="0.2">
      <c r="A24" s="19">
        <v>2</v>
      </c>
      <c r="B24" t="s">
        <v>135</v>
      </c>
    </row>
    <row r="25" spans="1:11" x14ac:dyDescent="0.2">
      <c r="B25" t="s">
        <v>0</v>
      </c>
      <c r="C25" t="s">
        <v>2</v>
      </c>
      <c r="D25" t="s">
        <v>3</v>
      </c>
      <c r="E25" t="s">
        <v>4</v>
      </c>
      <c r="F25" t="s">
        <v>5</v>
      </c>
      <c r="G25" t="s">
        <v>47</v>
      </c>
    </row>
    <row r="26" spans="1:11" x14ac:dyDescent="0.2">
      <c r="B26" s="1">
        <v>46204</v>
      </c>
      <c r="C26" t="s">
        <v>9</v>
      </c>
      <c r="D26">
        <v>7152</v>
      </c>
      <c r="E26" t="s">
        <v>48</v>
      </c>
      <c r="F26" t="s">
        <v>49</v>
      </c>
      <c r="G26">
        <v>363636.36000000004</v>
      </c>
    </row>
    <row r="27" spans="1:11" x14ac:dyDescent="0.2">
      <c r="B27" s="1">
        <v>46204</v>
      </c>
      <c r="C27" t="s">
        <v>16</v>
      </c>
      <c r="D27">
        <v>7152</v>
      </c>
      <c r="E27" t="s">
        <v>48</v>
      </c>
      <c r="F27" t="s">
        <v>49</v>
      </c>
      <c r="G27">
        <v>363636.36000000004</v>
      </c>
    </row>
    <row r="30" spans="1:11" x14ac:dyDescent="0.2">
      <c r="A30" s="19" t="s">
        <v>136</v>
      </c>
    </row>
    <row r="31" spans="1:11" x14ac:dyDescent="0.2">
      <c r="B31" t="s">
        <v>89</v>
      </c>
      <c r="C31" t="s">
        <v>47</v>
      </c>
    </row>
    <row r="32" spans="1:11" x14ac:dyDescent="0.2">
      <c r="B32" t="s">
        <v>69</v>
      </c>
      <c r="C32">
        <v>363636.36</v>
      </c>
    </row>
    <row r="33" spans="1:3" x14ac:dyDescent="0.2">
      <c r="B33" t="s">
        <v>69</v>
      </c>
      <c r="C33">
        <v>363636.36</v>
      </c>
    </row>
    <row r="34" spans="1:3" x14ac:dyDescent="0.2">
      <c r="B34" t="s">
        <v>69</v>
      </c>
      <c r="C34">
        <v>454545.45</v>
      </c>
    </row>
    <row r="39" spans="1:3" x14ac:dyDescent="0.2">
      <c r="A39" s="19">
        <v>1</v>
      </c>
      <c r="B39" t="s">
        <v>109</v>
      </c>
    </row>
    <row r="40" spans="1:3" ht="14.25" x14ac:dyDescent="0.2">
      <c r="B40" s="3" t="s">
        <v>70</v>
      </c>
    </row>
    <row r="41" spans="1:3" ht="14.25" x14ac:dyDescent="0.2">
      <c r="B41" s="4" t="s">
        <v>71</v>
      </c>
    </row>
    <row r="42" spans="1:3" ht="14.25" x14ac:dyDescent="0.2">
      <c r="B42" s="4" t="s">
        <v>72</v>
      </c>
    </row>
    <row r="43" spans="1:3" ht="14.25" x14ac:dyDescent="0.2">
      <c r="B43" s="4" t="s">
        <v>73</v>
      </c>
    </row>
    <row r="44" spans="1:3" ht="14.25" x14ac:dyDescent="0.2">
      <c r="B44" s="4" t="s">
        <v>74</v>
      </c>
    </row>
    <row r="45" spans="1:3" ht="14.25" x14ac:dyDescent="0.2">
      <c r="B45" s="4" t="s">
        <v>75</v>
      </c>
    </row>
    <row r="46" spans="1:3" ht="14.25" x14ac:dyDescent="0.2">
      <c r="B46" s="4" t="s">
        <v>76</v>
      </c>
    </row>
    <row r="47" spans="1:3" ht="14.25" x14ac:dyDescent="0.2">
      <c r="B47" s="4" t="s">
        <v>77</v>
      </c>
    </row>
    <row r="49" spans="1:2" x14ac:dyDescent="0.2">
      <c r="A49" s="19">
        <v>2</v>
      </c>
      <c r="B49" t="s">
        <v>110</v>
      </c>
    </row>
    <row r="50" spans="1:2" ht="14.25" x14ac:dyDescent="0.2">
      <c r="B50" s="3" t="s">
        <v>78</v>
      </c>
    </row>
    <row r="51" spans="1:2" ht="14.25" x14ac:dyDescent="0.2">
      <c r="B51" s="4" t="s">
        <v>111</v>
      </c>
    </row>
    <row r="52" spans="1:2" ht="14.25" x14ac:dyDescent="0.2">
      <c r="B52" s="4" t="s">
        <v>79</v>
      </c>
    </row>
    <row r="53" spans="1:2" ht="14.25" x14ac:dyDescent="0.2">
      <c r="B53" s="4" t="s">
        <v>80</v>
      </c>
    </row>
    <row r="54" spans="1:2" ht="14.25" x14ac:dyDescent="0.2">
      <c r="B54" s="4" t="s">
        <v>81</v>
      </c>
    </row>
    <row r="55" spans="1:2" ht="14.25" x14ac:dyDescent="0.2">
      <c r="B55" s="4" t="s">
        <v>82</v>
      </c>
    </row>
    <row r="56" spans="1:2" ht="14.25" x14ac:dyDescent="0.2">
      <c r="B56" s="4" t="s">
        <v>83</v>
      </c>
    </row>
    <row r="57" spans="1:2" ht="14.25" x14ac:dyDescent="0.2">
      <c r="B57" s="3" t="s">
        <v>84</v>
      </c>
    </row>
    <row r="58" spans="1:2" ht="14.25" x14ac:dyDescent="0.2">
      <c r="B58" s="4" t="s">
        <v>85</v>
      </c>
    </row>
    <row r="60" spans="1:2" x14ac:dyDescent="0.2">
      <c r="A60" s="19">
        <v>3</v>
      </c>
      <c r="B60" t="s">
        <v>112</v>
      </c>
    </row>
    <row r="61" spans="1:2" ht="14.25" x14ac:dyDescent="0.2">
      <c r="B61" s="3" t="s">
        <v>86</v>
      </c>
    </row>
    <row r="62" spans="1:2" ht="14.25" x14ac:dyDescent="0.2">
      <c r="B62" s="4" t="s">
        <v>118</v>
      </c>
    </row>
    <row r="63" spans="1:2" ht="14.25" x14ac:dyDescent="0.2">
      <c r="B63" s="4" t="s">
        <v>119</v>
      </c>
    </row>
    <row r="64" spans="1:2" ht="14.25" x14ac:dyDescent="0.2">
      <c r="B64" s="4" t="s">
        <v>114</v>
      </c>
    </row>
    <row r="65" spans="2:2" ht="14.25" x14ac:dyDescent="0.2">
      <c r="B65" s="4" t="s">
        <v>120</v>
      </c>
    </row>
    <row r="66" spans="2:2" ht="14.25" x14ac:dyDescent="0.2">
      <c r="B66" s="4" t="s">
        <v>121</v>
      </c>
    </row>
    <row r="67" spans="2:2" ht="14.25" x14ac:dyDescent="0.2">
      <c r="B67" s="4" t="s">
        <v>122</v>
      </c>
    </row>
    <row r="68" spans="2:2" ht="14.25" x14ac:dyDescent="0.2">
      <c r="B68" s="4" t="s">
        <v>123</v>
      </c>
    </row>
    <row r="69" spans="2:2" ht="14.25" x14ac:dyDescent="0.2">
      <c r="B69" s="4" t="s">
        <v>124</v>
      </c>
    </row>
    <row r="70" spans="2:2" x14ac:dyDescent="0.2">
      <c r="B70" s="5"/>
    </row>
    <row r="71" spans="2:2" ht="14.25" x14ac:dyDescent="0.2">
      <c r="B71" s="3" t="s">
        <v>87</v>
      </c>
    </row>
    <row r="72" spans="2:2" ht="14.25" x14ac:dyDescent="0.2">
      <c r="B72" s="4" t="s">
        <v>125</v>
      </c>
    </row>
    <row r="73" spans="2:2" ht="14.25" x14ac:dyDescent="0.2">
      <c r="B73" s="4" t="s">
        <v>113</v>
      </c>
    </row>
    <row r="74" spans="2:2" ht="14.25" x14ac:dyDescent="0.2">
      <c r="B74" s="4" t="s">
        <v>114</v>
      </c>
    </row>
    <row r="75" spans="2:2" ht="14.25" x14ac:dyDescent="0.2">
      <c r="B75" s="4" t="s">
        <v>115</v>
      </c>
    </row>
    <row r="76" spans="2:2" ht="14.25" x14ac:dyDescent="0.2">
      <c r="B76" s="4" t="s">
        <v>116</v>
      </c>
    </row>
    <row r="77" spans="2:2" ht="14.25" x14ac:dyDescent="0.2">
      <c r="B77" s="3" t="s">
        <v>88</v>
      </c>
    </row>
    <row r="78" spans="2:2" ht="14.25" x14ac:dyDescent="0.2">
      <c r="B78" s="4" t="s">
        <v>126</v>
      </c>
    </row>
    <row r="79" spans="2:2" ht="14.25" x14ac:dyDescent="0.2">
      <c r="B79" s="4" t="s">
        <v>123</v>
      </c>
    </row>
    <row r="80" spans="2:2" ht="14.25" x14ac:dyDescent="0.2">
      <c r="B80" s="4" t="s">
        <v>117</v>
      </c>
    </row>
    <row r="82" spans="1:2" ht="14.25" x14ac:dyDescent="0.2">
      <c r="B82" s="4"/>
    </row>
    <row r="84" spans="1:2" x14ac:dyDescent="0.2">
      <c r="A84" s="19">
        <v>4</v>
      </c>
      <c r="B84" t="s">
        <v>127</v>
      </c>
    </row>
    <row r="85" spans="1:2" ht="13.5" x14ac:dyDescent="0.2">
      <c r="B85" s="6" t="s">
        <v>128</v>
      </c>
    </row>
    <row r="86" spans="1:2" ht="13.5" x14ac:dyDescent="0.2">
      <c r="B86" s="6" t="s">
        <v>129</v>
      </c>
    </row>
    <row r="87" spans="1:2" ht="13.5" x14ac:dyDescent="0.2">
      <c r="B87" s="7" t="s">
        <v>130</v>
      </c>
    </row>
    <row r="88" spans="1:2" ht="13.5" x14ac:dyDescent="0.2">
      <c r="B88" s="8" t="s">
        <v>131</v>
      </c>
    </row>
    <row r="89" spans="1:2" ht="13.5" x14ac:dyDescent="0.2">
      <c r="B89" s="6" t="s">
        <v>132</v>
      </c>
    </row>
    <row r="90" spans="1:2" ht="13.5" x14ac:dyDescent="0.2">
      <c r="B90" s="6" t="s">
        <v>133</v>
      </c>
    </row>
    <row r="91" spans="1:2" ht="13.5" x14ac:dyDescent="0.2">
      <c r="B91" s="7"/>
    </row>
    <row r="92" spans="1:2" ht="13.5" x14ac:dyDescent="0.2">
      <c r="B92" s="6"/>
    </row>
    <row r="95" spans="1:2" x14ac:dyDescent="0.2">
      <c r="A95" s="19">
        <v>5</v>
      </c>
      <c r="B95" t="s">
        <v>134</v>
      </c>
    </row>
    <row r="98" spans="2:2" x14ac:dyDescent="0.2">
      <c r="B98" t="s">
        <v>108</v>
      </c>
    </row>
    <row r="99" spans="2:2" x14ac:dyDescent="0.2">
      <c r="B99" t="s">
        <v>107</v>
      </c>
    </row>
    <row r="101" spans="2:2" x14ac:dyDescent="0.2">
      <c r="B101" s="13" t="s">
        <v>97</v>
      </c>
    </row>
    <row r="102" spans="2:2" x14ac:dyDescent="0.2">
      <c r="B102" s="13"/>
    </row>
    <row r="103" spans="2:2" ht="16.5" x14ac:dyDescent="0.2">
      <c r="B103" s="12" t="s">
        <v>104</v>
      </c>
    </row>
    <row r="104" spans="2:2" ht="16.5" x14ac:dyDescent="0.2">
      <c r="B104" s="12" t="s">
        <v>96</v>
      </c>
    </row>
    <row r="105" spans="2:2" ht="16.5" x14ac:dyDescent="0.2">
      <c r="B105" s="12"/>
    </row>
    <row r="106" spans="2:2" x14ac:dyDescent="0.2">
      <c r="B106" t="s">
        <v>105</v>
      </c>
    </row>
    <row r="107" spans="2:2" x14ac:dyDescent="0.2">
      <c r="B107" t="s">
        <v>106</v>
      </c>
    </row>
    <row r="108" spans="2:2" x14ac:dyDescent="0.2">
      <c r="B108" s="18" t="s">
        <v>99</v>
      </c>
    </row>
    <row r="109" spans="2:2" x14ac:dyDescent="0.2">
      <c r="B109" t="s">
        <v>100</v>
      </c>
    </row>
    <row r="110" spans="2:2" x14ac:dyDescent="0.2">
      <c r="B110" t="s">
        <v>101</v>
      </c>
    </row>
    <row r="111" spans="2:2" x14ac:dyDescent="0.2">
      <c r="B111" t="s">
        <v>102</v>
      </c>
    </row>
    <row r="112" spans="2:2" x14ac:dyDescent="0.2">
      <c r="B112" s="14" t="s">
        <v>103</v>
      </c>
    </row>
    <row r="117" spans="2:2" x14ac:dyDescent="0.2">
      <c r="B117" t="s">
        <v>98</v>
      </c>
    </row>
  </sheetData>
  <hyperlinks>
    <hyperlink ref="B101" r:id="rId1" tooltip="https://siepe.visualstudio.com/siepe.software/_workitems/edit/84763" display="https://siepe.visualstudio.com/Siepe.Software/_workitems/edit/84763" xr:uid="{5056AB29-2884-4A77-8546-7DC450550BF4}"/>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workbookViewId="0">
      <selection sqref="A1:F3"/>
    </sheetView>
  </sheetViews>
  <sheetFormatPr defaultRowHeight="12.75" x14ac:dyDescent="0.2"/>
  <cols>
    <col min="1" max="1" width="14.5703125"/>
    <col min="2" max="2" width="28.5703125"/>
    <col min="3" max="3" width="6"/>
    <col min="4" max="4" width="92.28515625" customWidth="1"/>
    <col min="5" max="5" width="15.140625"/>
    <col min="6" max="6" width="10.85546875"/>
    <col min="7" max="7" width="22.5703125" bestFit="1" customWidth="1"/>
    <col min="8" max="9" width="23.28515625" customWidth="1"/>
  </cols>
  <sheetData>
    <row r="1" spans="1:10" x14ac:dyDescent="0.2">
      <c r="A1" t="s">
        <v>0</v>
      </c>
      <c r="B1" t="s">
        <v>2</v>
      </c>
      <c r="C1" t="s">
        <v>3</v>
      </c>
      <c r="D1" t="s">
        <v>4</v>
      </c>
      <c r="E1" t="s">
        <v>5</v>
      </c>
      <c r="F1" t="s">
        <v>47</v>
      </c>
      <c r="G1" s="2" t="s">
        <v>89</v>
      </c>
      <c r="H1" s="11" t="s">
        <v>47</v>
      </c>
    </row>
    <row r="2" spans="1:10" x14ac:dyDescent="0.2">
      <c r="A2" s="1">
        <v>46204</v>
      </c>
      <c r="B2" t="s">
        <v>9</v>
      </c>
      <c r="C2">
        <v>7152</v>
      </c>
      <c r="D2" t="s">
        <v>48</v>
      </c>
      <c r="E2" t="s">
        <v>49</v>
      </c>
      <c r="F2">
        <v>363636.36000000004</v>
      </c>
      <c r="G2" t="s">
        <v>69</v>
      </c>
      <c r="H2">
        <v>363636.36</v>
      </c>
      <c r="J2" t="str">
        <f>+"'" &amp; E2 &amp; "',"</f>
        <v>'LX293144',</v>
      </c>
    </row>
    <row r="3" spans="1:10" x14ac:dyDescent="0.2">
      <c r="A3" s="1">
        <v>46204</v>
      </c>
      <c r="B3" t="s">
        <v>16</v>
      </c>
      <c r="C3">
        <v>7152</v>
      </c>
      <c r="D3" t="s">
        <v>48</v>
      </c>
      <c r="E3" t="s">
        <v>49</v>
      </c>
      <c r="F3">
        <v>363636.36000000004</v>
      </c>
      <c r="G3" t="s">
        <v>69</v>
      </c>
      <c r="H3">
        <v>363636.36</v>
      </c>
      <c r="J3" t="str">
        <f t="shared" ref="J3:J44" si="0">+"'" &amp; E3 &amp; "',"</f>
        <v>'LX293144',</v>
      </c>
    </row>
    <row r="4" spans="1:10" x14ac:dyDescent="0.2">
      <c r="A4" s="1">
        <v>46204</v>
      </c>
      <c r="B4" t="s">
        <v>15</v>
      </c>
      <c r="C4">
        <v>7152</v>
      </c>
      <c r="D4" t="s">
        <v>48</v>
      </c>
      <c r="E4" t="s">
        <v>49</v>
      </c>
      <c r="F4">
        <v>454545.45</v>
      </c>
      <c r="G4" t="s">
        <v>69</v>
      </c>
      <c r="H4">
        <v>454545.45</v>
      </c>
      <c r="J4" t="str">
        <f t="shared" si="0"/>
        <v>'LX293144',</v>
      </c>
    </row>
    <row r="5" spans="1:10" x14ac:dyDescent="0.2">
      <c r="A5" s="1">
        <v>46204</v>
      </c>
      <c r="B5" t="s">
        <v>19</v>
      </c>
      <c r="C5">
        <v>7152</v>
      </c>
      <c r="D5" t="s">
        <v>48</v>
      </c>
      <c r="E5" t="s">
        <v>49</v>
      </c>
      <c r="F5">
        <v>454545.45</v>
      </c>
      <c r="G5" t="s">
        <v>69</v>
      </c>
      <c r="H5">
        <v>454545.45</v>
      </c>
      <c r="J5" t="str">
        <f t="shared" si="0"/>
        <v>'LX293144',</v>
      </c>
    </row>
    <row r="6" spans="1:10" x14ac:dyDescent="0.2">
      <c r="A6" s="1">
        <v>46204</v>
      </c>
      <c r="B6" t="s">
        <v>17</v>
      </c>
      <c r="C6">
        <v>7152</v>
      </c>
      <c r="D6" t="s">
        <v>48</v>
      </c>
      <c r="E6" t="s">
        <v>49</v>
      </c>
      <c r="F6">
        <v>454545.45</v>
      </c>
      <c r="G6" t="s">
        <v>69</v>
      </c>
      <c r="H6">
        <v>454545.45</v>
      </c>
      <c r="J6" t="str">
        <f t="shared" si="0"/>
        <v>'LX293144',</v>
      </c>
    </row>
    <row r="7" spans="1:10" x14ac:dyDescent="0.2">
      <c r="A7" s="1">
        <v>46204</v>
      </c>
      <c r="B7" t="s">
        <v>18</v>
      </c>
      <c r="C7">
        <v>7152</v>
      </c>
      <c r="D7" t="s">
        <v>48</v>
      </c>
      <c r="E7" t="s">
        <v>49</v>
      </c>
      <c r="F7">
        <v>454545.45</v>
      </c>
      <c r="G7" t="s">
        <v>69</v>
      </c>
      <c r="H7">
        <v>454545.45</v>
      </c>
      <c r="J7" t="str">
        <f t="shared" si="0"/>
        <v>'LX293144',</v>
      </c>
    </row>
    <row r="8" spans="1:10" x14ac:dyDescent="0.2">
      <c r="A8" s="1">
        <v>46204</v>
      </c>
      <c r="B8" t="s">
        <v>20</v>
      </c>
      <c r="C8">
        <v>7152</v>
      </c>
      <c r="D8" t="s">
        <v>48</v>
      </c>
      <c r="E8" t="s">
        <v>49</v>
      </c>
      <c r="F8">
        <v>454545.48000000004</v>
      </c>
      <c r="G8" t="s">
        <v>69</v>
      </c>
      <c r="H8">
        <v>454545.48</v>
      </c>
      <c r="J8" t="str">
        <f t="shared" si="0"/>
        <v>'LX293144',</v>
      </c>
    </row>
    <row r="9" spans="1:10" x14ac:dyDescent="0.2">
      <c r="A9" s="1">
        <v>46204</v>
      </c>
      <c r="B9" t="s">
        <v>9</v>
      </c>
      <c r="C9">
        <v>7167</v>
      </c>
      <c r="D9" t="s">
        <v>50</v>
      </c>
      <c r="E9" t="s">
        <v>51</v>
      </c>
      <c r="F9">
        <v>1942248.11</v>
      </c>
      <c r="G9" t="s">
        <v>69</v>
      </c>
      <c r="H9">
        <v>2510661.37</v>
      </c>
      <c r="J9" t="str">
        <f t="shared" si="0"/>
        <v>'LX293168',</v>
      </c>
    </row>
    <row r="10" spans="1:10" x14ac:dyDescent="0.2">
      <c r="A10" s="1">
        <v>46204</v>
      </c>
      <c r="B10" t="s">
        <v>16</v>
      </c>
      <c r="C10">
        <v>7167</v>
      </c>
      <c r="D10" t="s">
        <v>50</v>
      </c>
      <c r="E10" t="s">
        <v>51</v>
      </c>
      <c r="F10">
        <v>1949882.21</v>
      </c>
      <c r="G10" t="s">
        <v>69</v>
      </c>
      <c r="H10">
        <v>1942248.11</v>
      </c>
      <c r="J10" t="str">
        <f t="shared" si="0"/>
        <v>'LX293168',</v>
      </c>
    </row>
    <row r="11" spans="1:10" x14ac:dyDescent="0.2">
      <c r="A11" s="1">
        <v>46204</v>
      </c>
      <c r="B11" t="s">
        <v>19</v>
      </c>
      <c r="C11">
        <v>7167</v>
      </c>
      <c r="D11" t="s">
        <v>50</v>
      </c>
      <c r="E11" t="s">
        <v>51</v>
      </c>
      <c r="F11">
        <v>2443750</v>
      </c>
      <c r="G11" t="s">
        <v>69</v>
      </c>
      <c r="H11">
        <v>2629041.13</v>
      </c>
      <c r="J11" t="str">
        <f t="shared" si="0"/>
        <v>'LX293168',</v>
      </c>
    </row>
    <row r="12" spans="1:10" x14ac:dyDescent="0.2">
      <c r="A12" s="1">
        <v>46204</v>
      </c>
      <c r="B12" t="s">
        <v>17</v>
      </c>
      <c r="C12">
        <v>7167</v>
      </c>
      <c r="D12" t="s">
        <v>50</v>
      </c>
      <c r="E12" t="s">
        <v>51</v>
      </c>
      <c r="F12">
        <v>2462216.62</v>
      </c>
      <c r="G12" t="s">
        <v>69</v>
      </c>
      <c r="H12">
        <v>1949882.21</v>
      </c>
      <c r="J12" t="str">
        <f t="shared" si="0"/>
        <v>'LX293168',</v>
      </c>
    </row>
    <row r="13" spans="1:10" x14ac:dyDescent="0.2">
      <c r="A13" s="1">
        <v>46204</v>
      </c>
      <c r="B13" t="s">
        <v>18</v>
      </c>
      <c r="C13">
        <v>7167</v>
      </c>
      <c r="D13" t="s">
        <v>50</v>
      </c>
      <c r="E13" t="s">
        <v>51</v>
      </c>
      <c r="F13">
        <v>2480964.46</v>
      </c>
      <c r="G13" t="s">
        <v>69</v>
      </c>
      <c r="H13">
        <v>2443750</v>
      </c>
      <c r="J13" t="str">
        <f t="shared" si="0"/>
        <v>'LX293168',</v>
      </c>
    </row>
    <row r="14" spans="1:10" x14ac:dyDescent="0.2">
      <c r="A14" s="1">
        <v>46204</v>
      </c>
      <c r="B14" t="s">
        <v>20</v>
      </c>
      <c r="C14">
        <v>7167</v>
      </c>
      <c r="D14" t="s">
        <v>50</v>
      </c>
      <c r="E14" t="s">
        <v>51</v>
      </c>
      <c r="F14">
        <v>2510661.37</v>
      </c>
      <c r="G14" t="s">
        <v>69</v>
      </c>
      <c r="H14">
        <v>2462216.62</v>
      </c>
      <c r="J14" t="str">
        <f t="shared" si="0"/>
        <v>'LX293168',</v>
      </c>
    </row>
    <row r="15" spans="1:10" x14ac:dyDescent="0.2">
      <c r="A15" s="1">
        <v>46204</v>
      </c>
      <c r="B15" t="s">
        <v>15</v>
      </c>
      <c r="C15">
        <v>7167</v>
      </c>
      <c r="D15" t="s">
        <v>50</v>
      </c>
      <c r="E15" t="s">
        <v>51</v>
      </c>
      <c r="F15">
        <v>2629041.1300000004</v>
      </c>
      <c r="G15" t="s">
        <v>69</v>
      </c>
      <c r="H15">
        <v>2480964.46</v>
      </c>
      <c r="J15" t="str">
        <f t="shared" si="0"/>
        <v>'LX293168',</v>
      </c>
    </row>
    <row r="16" spans="1:10" x14ac:dyDescent="0.2">
      <c r="A16" s="1">
        <v>46205</v>
      </c>
      <c r="B16" t="s">
        <v>9</v>
      </c>
      <c r="C16">
        <v>7152</v>
      </c>
      <c r="D16" t="s">
        <v>48</v>
      </c>
      <c r="E16" t="s">
        <v>49</v>
      </c>
      <c r="F16">
        <v>363636.36000000004</v>
      </c>
      <c r="G16" t="s">
        <v>69</v>
      </c>
      <c r="H16">
        <v>363636.36000000004</v>
      </c>
      <c r="J16" t="str">
        <f t="shared" si="0"/>
        <v>'LX293144',</v>
      </c>
    </row>
    <row r="17" spans="1:10" x14ac:dyDescent="0.2">
      <c r="A17" s="1">
        <v>46205</v>
      </c>
      <c r="B17" t="s">
        <v>16</v>
      </c>
      <c r="C17">
        <v>7152</v>
      </c>
      <c r="D17" t="s">
        <v>48</v>
      </c>
      <c r="E17" t="s">
        <v>49</v>
      </c>
      <c r="F17">
        <v>363636.36000000004</v>
      </c>
      <c r="G17" t="s">
        <v>69</v>
      </c>
      <c r="H17">
        <v>363636.36000000004</v>
      </c>
      <c r="J17" t="str">
        <f t="shared" si="0"/>
        <v>'LX293144',</v>
      </c>
    </row>
    <row r="18" spans="1:10" x14ac:dyDescent="0.2">
      <c r="A18" s="1">
        <v>46205</v>
      </c>
      <c r="B18" t="s">
        <v>15</v>
      </c>
      <c r="C18">
        <v>7152</v>
      </c>
      <c r="D18" t="s">
        <v>48</v>
      </c>
      <c r="E18" t="s">
        <v>49</v>
      </c>
      <c r="F18">
        <v>454545.45</v>
      </c>
      <c r="G18" t="s">
        <v>69</v>
      </c>
      <c r="H18">
        <v>454545.45</v>
      </c>
      <c r="J18" t="str">
        <f t="shared" si="0"/>
        <v>'LX293144',</v>
      </c>
    </row>
    <row r="19" spans="1:10" x14ac:dyDescent="0.2">
      <c r="A19" s="1">
        <v>46205</v>
      </c>
      <c r="B19" t="s">
        <v>19</v>
      </c>
      <c r="C19">
        <v>7152</v>
      </c>
      <c r="D19" t="s">
        <v>48</v>
      </c>
      <c r="E19" t="s">
        <v>49</v>
      </c>
      <c r="F19">
        <v>454545.45</v>
      </c>
      <c r="G19" t="s">
        <v>69</v>
      </c>
      <c r="H19">
        <v>454545.45</v>
      </c>
      <c r="J19" t="str">
        <f t="shared" si="0"/>
        <v>'LX293144',</v>
      </c>
    </row>
    <row r="20" spans="1:10" x14ac:dyDescent="0.2">
      <c r="A20" s="1">
        <v>46205</v>
      </c>
      <c r="B20" t="s">
        <v>17</v>
      </c>
      <c r="C20">
        <v>7152</v>
      </c>
      <c r="D20" t="s">
        <v>48</v>
      </c>
      <c r="E20" t="s">
        <v>49</v>
      </c>
      <c r="F20">
        <v>454545.45</v>
      </c>
      <c r="G20" t="s">
        <v>69</v>
      </c>
      <c r="H20">
        <v>454545.45</v>
      </c>
      <c r="J20" t="str">
        <f t="shared" si="0"/>
        <v>'LX293144',</v>
      </c>
    </row>
    <row r="21" spans="1:10" x14ac:dyDescent="0.2">
      <c r="A21" s="1">
        <v>46205</v>
      </c>
      <c r="B21" t="s">
        <v>18</v>
      </c>
      <c r="C21">
        <v>7152</v>
      </c>
      <c r="D21" t="s">
        <v>48</v>
      </c>
      <c r="E21" t="s">
        <v>49</v>
      </c>
      <c r="F21">
        <v>454545.45</v>
      </c>
      <c r="G21" t="s">
        <v>69</v>
      </c>
      <c r="H21">
        <v>454545.45</v>
      </c>
      <c r="J21" t="str">
        <f t="shared" si="0"/>
        <v>'LX293144',</v>
      </c>
    </row>
    <row r="22" spans="1:10" x14ac:dyDescent="0.2">
      <c r="A22" s="1">
        <v>46205</v>
      </c>
      <c r="B22" t="s">
        <v>20</v>
      </c>
      <c r="C22">
        <v>7152</v>
      </c>
      <c r="D22" t="s">
        <v>48</v>
      </c>
      <c r="E22" t="s">
        <v>49</v>
      </c>
      <c r="F22">
        <v>454545.48000000004</v>
      </c>
      <c r="G22" t="s">
        <v>69</v>
      </c>
      <c r="H22">
        <v>454545.48000000004</v>
      </c>
      <c r="J22" t="str">
        <f t="shared" si="0"/>
        <v>'LX293144',</v>
      </c>
    </row>
    <row r="23" spans="1:10" x14ac:dyDescent="0.2">
      <c r="A23" s="1">
        <v>46205</v>
      </c>
      <c r="B23" t="s">
        <v>9</v>
      </c>
      <c r="C23">
        <v>7167</v>
      </c>
      <c r="D23" t="s">
        <v>50</v>
      </c>
      <c r="E23" t="s">
        <v>51</v>
      </c>
      <c r="F23">
        <v>1942248.11</v>
      </c>
      <c r="G23" t="s">
        <v>69</v>
      </c>
      <c r="H23">
        <v>1942248.11</v>
      </c>
      <c r="J23" t="str">
        <f t="shared" si="0"/>
        <v>'LX293168',</v>
      </c>
    </row>
    <row r="24" spans="1:10" x14ac:dyDescent="0.2">
      <c r="A24" s="1">
        <v>46205</v>
      </c>
      <c r="B24" t="s">
        <v>16</v>
      </c>
      <c r="C24">
        <v>7167</v>
      </c>
      <c r="D24" t="s">
        <v>50</v>
      </c>
      <c r="E24" t="s">
        <v>51</v>
      </c>
      <c r="F24">
        <v>1949882.21</v>
      </c>
      <c r="G24" t="s">
        <v>69</v>
      </c>
      <c r="H24">
        <v>1949882.21</v>
      </c>
      <c r="J24" t="str">
        <f t="shared" si="0"/>
        <v>'LX293168',</v>
      </c>
    </row>
    <row r="25" spans="1:10" x14ac:dyDescent="0.2">
      <c r="A25" s="1">
        <v>46205</v>
      </c>
      <c r="B25" t="s">
        <v>19</v>
      </c>
      <c r="C25">
        <v>7167</v>
      </c>
      <c r="D25" t="s">
        <v>50</v>
      </c>
      <c r="E25" t="s">
        <v>51</v>
      </c>
      <c r="F25">
        <v>2443750</v>
      </c>
      <c r="G25" t="s">
        <v>69</v>
      </c>
      <c r="H25">
        <v>2443750</v>
      </c>
      <c r="J25" t="str">
        <f t="shared" si="0"/>
        <v>'LX293168',</v>
      </c>
    </row>
    <row r="26" spans="1:10" x14ac:dyDescent="0.2">
      <c r="A26" s="1">
        <v>46205</v>
      </c>
      <c r="B26" t="s">
        <v>17</v>
      </c>
      <c r="C26">
        <v>7167</v>
      </c>
      <c r="D26" t="s">
        <v>50</v>
      </c>
      <c r="E26" t="s">
        <v>51</v>
      </c>
      <c r="F26">
        <v>2462216.62</v>
      </c>
      <c r="G26" t="s">
        <v>69</v>
      </c>
      <c r="H26">
        <v>2462216.62</v>
      </c>
      <c r="J26" t="str">
        <f t="shared" si="0"/>
        <v>'LX293168',</v>
      </c>
    </row>
    <row r="27" spans="1:10" x14ac:dyDescent="0.2">
      <c r="A27" s="1">
        <v>46205</v>
      </c>
      <c r="B27" t="s">
        <v>18</v>
      </c>
      <c r="C27">
        <v>7167</v>
      </c>
      <c r="D27" t="s">
        <v>50</v>
      </c>
      <c r="E27" t="s">
        <v>51</v>
      </c>
      <c r="F27">
        <v>2480964.46</v>
      </c>
      <c r="G27" t="s">
        <v>69</v>
      </c>
      <c r="H27">
        <v>2480964.46</v>
      </c>
      <c r="J27" t="str">
        <f t="shared" si="0"/>
        <v>'LX293168',</v>
      </c>
    </row>
    <row r="28" spans="1:10" x14ac:dyDescent="0.2">
      <c r="A28" s="1">
        <v>46205</v>
      </c>
      <c r="B28" t="s">
        <v>20</v>
      </c>
      <c r="C28">
        <v>7167</v>
      </c>
      <c r="D28" t="s">
        <v>50</v>
      </c>
      <c r="E28" t="s">
        <v>51</v>
      </c>
      <c r="F28">
        <v>2510661.37</v>
      </c>
      <c r="G28" t="s">
        <v>69</v>
      </c>
      <c r="H28">
        <v>2510661.37</v>
      </c>
      <c r="J28" t="str">
        <f t="shared" si="0"/>
        <v>'LX293168',</v>
      </c>
    </row>
    <row r="29" spans="1:10" x14ac:dyDescent="0.2">
      <c r="A29" s="1">
        <v>46205</v>
      </c>
      <c r="B29" t="s">
        <v>15</v>
      </c>
      <c r="C29">
        <v>7167</v>
      </c>
      <c r="D29" t="s">
        <v>50</v>
      </c>
      <c r="E29" t="s">
        <v>51</v>
      </c>
      <c r="F29">
        <v>2629041.1300000004</v>
      </c>
      <c r="G29" t="s">
        <v>69</v>
      </c>
      <c r="H29">
        <v>2629041.1300000004</v>
      </c>
      <c r="J29" t="str">
        <f t="shared" si="0"/>
        <v>'LX293168',</v>
      </c>
    </row>
    <row r="30" spans="1:10" x14ac:dyDescent="0.2">
      <c r="A30" s="1">
        <v>46206</v>
      </c>
      <c r="B30" t="s">
        <v>9</v>
      </c>
      <c r="C30">
        <v>7152</v>
      </c>
      <c r="D30" t="s">
        <v>48</v>
      </c>
      <c r="E30" t="s">
        <v>49</v>
      </c>
      <c r="F30">
        <v>363636.36000000004</v>
      </c>
      <c r="G30" t="s">
        <v>69</v>
      </c>
      <c r="H30">
        <v>363636.36000000004</v>
      </c>
      <c r="J30" t="str">
        <f t="shared" si="0"/>
        <v>'LX293144',</v>
      </c>
    </row>
    <row r="31" spans="1:10" x14ac:dyDescent="0.2">
      <c r="A31" s="1">
        <v>46206</v>
      </c>
      <c r="B31" t="s">
        <v>16</v>
      </c>
      <c r="C31">
        <v>7152</v>
      </c>
      <c r="D31" t="s">
        <v>48</v>
      </c>
      <c r="E31" t="s">
        <v>49</v>
      </c>
      <c r="F31">
        <v>363636.36000000004</v>
      </c>
      <c r="G31" t="s">
        <v>69</v>
      </c>
      <c r="H31">
        <v>363636.36000000004</v>
      </c>
      <c r="J31" t="str">
        <f t="shared" si="0"/>
        <v>'LX293144',</v>
      </c>
    </row>
    <row r="32" spans="1:10" x14ac:dyDescent="0.2">
      <c r="A32" s="1">
        <v>46206</v>
      </c>
      <c r="B32" t="s">
        <v>15</v>
      </c>
      <c r="C32">
        <v>7152</v>
      </c>
      <c r="D32" t="s">
        <v>48</v>
      </c>
      <c r="E32" t="s">
        <v>49</v>
      </c>
      <c r="F32">
        <v>454545.45</v>
      </c>
      <c r="G32" t="s">
        <v>69</v>
      </c>
      <c r="H32">
        <v>454545.45</v>
      </c>
      <c r="J32" t="str">
        <f t="shared" si="0"/>
        <v>'LX293144',</v>
      </c>
    </row>
    <row r="33" spans="1:10" x14ac:dyDescent="0.2">
      <c r="A33" s="1">
        <v>46206</v>
      </c>
      <c r="B33" t="s">
        <v>19</v>
      </c>
      <c r="C33">
        <v>7152</v>
      </c>
      <c r="D33" t="s">
        <v>48</v>
      </c>
      <c r="E33" t="s">
        <v>49</v>
      </c>
      <c r="F33">
        <v>454545.45</v>
      </c>
      <c r="G33" t="s">
        <v>69</v>
      </c>
      <c r="H33">
        <v>454545.45</v>
      </c>
      <c r="J33" t="str">
        <f t="shared" si="0"/>
        <v>'LX293144',</v>
      </c>
    </row>
    <row r="34" spans="1:10" x14ac:dyDescent="0.2">
      <c r="A34" s="1">
        <v>46206</v>
      </c>
      <c r="B34" t="s">
        <v>17</v>
      </c>
      <c r="C34">
        <v>7152</v>
      </c>
      <c r="D34" t="s">
        <v>48</v>
      </c>
      <c r="E34" t="s">
        <v>49</v>
      </c>
      <c r="F34">
        <v>454545.45</v>
      </c>
      <c r="G34" t="s">
        <v>69</v>
      </c>
      <c r="H34">
        <v>454545.45</v>
      </c>
      <c r="J34" t="str">
        <f t="shared" si="0"/>
        <v>'LX293144',</v>
      </c>
    </row>
    <row r="35" spans="1:10" x14ac:dyDescent="0.2">
      <c r="A35" s="1">
        <v>46206</v>
      </c>
      <c r="B35" t="s">
        <v>18</v>
      </c>
      <c r="C35">
        <v>7152</v>
      </c>
      <c r="D35" t="s">
        <v>48</v>
      </c>
      <c r="E35" t="s">
        <v>49</v>
      </c>
      <c r="F35">
        <v>454545.45</v>
      </c>
      <c r="G35" t="s">
        <v>69</v>
      </c>
      <c r="H35">
        <v>454545.45</v>
      </c>
      <c r="J35" t="str">
        <f t="shared" si="0"/>
        <v>'LX293144',</v>
      </c>
    </row>
    <row r="36" spans="1:10" x14ac:dyDescent="0.2">
      <c r="A36" s="1">
        <v>46206</v>
      </c>
      <c r="B36" t="s">
        <v>20</v>
      </c>
      <c r="C36">
        <v>7152</v>
      </c>
      <c r="D36" t="s">
        <v>48</v>
      </c>
      <c r="E36" t="s">
        <v>49</v>
      </c>
      <c r="F36">
        <v>454545.48000000004</v>
      </c>
      <c r="G36" t="s">
        <v>69</v>
      </c>
      <c r="H36">
        <v>454545.48000000004</v>
      </c>
      <c r="J36" t="str">
        <f t="shared" si="0"/>
        <v>'LX293144',</v>
      </c>
    </row>
    <row r="37" spans="1:10" x14ac:dyDescent="0.2">
      <c r="A37" s="1">
        <v>46206</v>
      </c>
      <c r="B37" t="s">
        <v>9</v>
      </c>
      <c r="C37">
        <v>7167</v>
      </c>
      <c r="D37" t="s">
        <v>50</v>
      </c>
      <c r="E37" t="s">
        <v>51</v>
      </c>
      <c r="F37">
        <v>1942248.11</v>
      </c>
      <c r="G37" t="s">
        <v>69</v>
      </c>
      <c r="H37">
        <v>1942248.11</v>
      </c>
      <c r="J37" t="str">
        <f t="shared" si="0"/>
        <v>'LX293168',</v>
      </c>
    </row>
    <row r="38" spans="1:10" x14ac:dyDescent="0.2">
      <c r="A38" s="1">
        <v>46206</v>
      </c>
      <c r="B38" t="s">
        <v>16</v>
      </c>
      <c r="C38">
        <v>7167</v>
      </c>
      <c r="D38" t="s">
        <v>50</v>
      </c>
      <c r="E38" t="s">
        <v>51</v>
      </c>
      <c r="F38">
        <v>1949882.21</v>
      </c>
      <c r="G38" t="s">
        <v>69</v>
      </c>
      <c r="H38">
        <v>1949882.21</v>
      </c>
      <c r="J38" t="str">
        <f t="shared" si="0"/>
        <v>'LX293168',</v>
      </c>
    </row>
    <row r="39" spans="1:10" x14ac:dyDescent="0.2">
      <c r="A39" s="1">
        <v>46206</v>
      </c>
      <c r="B39" t="s">
        <v>19</v>
      </c>
      <c r="C39">
        <v>7167</v>
      </c>
      <c r="D39" t="s">
        <v>50</v>
      </c>
      <c r="E39" t="s">
        <v>51</v>
      </c>
      <c r="F39">
        <v>2443750</v>
      </c>
      <c r="G39" t="s">
        <v>69</v>
      </c>
      <c r="H39">
        <v>2443750</v>
      </c>
      <c r="J39" t="str">
        <f t="shared" si="0"/>
        <v>'LX293168',</v>
      </c>
    </row>
    <row r="40" spans="1:10" x14ac:dyDescent="0.2">
      <c r="A40" s="1">
        <v>46206</v>
      </c>
      <c r="B40" t="s">
        <v>17</v>
      </c>
      <c r="C40">
        <v>7167</v>
      </c>
      <c r="D40" t="s">
        <v>50</v>
      </c>
      <c r="E40" t="s">
        <v>51</v>
      </c>
      <c r="F40">
        <v>2462216.62</v>
      </c>
      <c r="G40" t="s">
        <v>69</v>
      </c>
      <c r="H40">
        <v>2462216.62</v>
      </c>
      <c r="J40" t="str">
        <f t="shared" si="0"/>
        <v>'LX293168',</v>
      </c>
    </row>
    <row r="41" spans="1:10" x14ac:dyDescent="0.2">
      <c r="A41" s="1">
        <v>46206</v>
      </c>
      <c r="B41" t="s">
        <v>18</v>
      </c>
      <c r="C41">
        <v>7167</v>
      </c>
      <c r="D41" t="s">
        <v>50</v>
      </c>
      <c r="E41" t="s">
        <v>51</v>
      </c>
      <c r="F41">
        <v>2480964.46</v>
      </c>
      <c r="G41" t="s">
        <v>69</v>
      </c>
      <c r="H41">
        <v>2480964.46</v>
      </c>
      <c r="J41" t="str">
        <f t="shared" si="0"/>
        <v>'LX293168',</v>
      </c>
    </row>
    <row r="42" spans="1:10" x14ac:dyDescent="0.2">
      <c r="A42" s="1">
        <v>46206</v>
      </c>
      <c r="B42" t="s">
        <v>20</v>
      </c>
      <c r="C42">
        <v>7167</v>
      </c>
      <c r="D42" t="s">
        <v>50</v>
      </c>
      <c r="E42" t="s">
        <v>51</v>
      </c>
      <c r="F42">
        <v>2510661.37</v>
      </c>
      <c r="G42" t="s">
        <v>69</v>
      </c>
      <c r="H42">
        <v>2510661.37</v>
      </c>
      <c r="J42" t="str">
        <f t="shared" si="0"/>
        <v>'LX293168',</v>
      </c>
    </row>
    <row r="43" spans="1:10" x14ac:dyDescent="0.2">
      <c r="A43" s="1">
        <v>46206</v>
      </c>
      <c r="B43" t="s">
        <v>15</v>
      </c>
      <c r="C43">
        <v>7167</v>
      </c>
      <c r="D43" t="s">
        <v>50</v>
      </c>
      <c r="E43" t="s">
        <v>51</v>
      </c>
      <c r="F43">
        <v>2629041.1300000004</v>
      </c>
      <c r="G43" t="s">
        <v>69</v>
      </c>
      <c r="H43">
        <v>2629041.1300000004</v>
      </c>
      <c r="J43" t="str">
        <f t="shared" si="0"/>
        <v>'LX293168',</v>
      </c>
    </row>
    <row r="44" spans="1:10" x14ac:dyDescent="0.2">
      <c r="J44" t="str">
        <f t="shared" si="0"/>
        <v>'',</v>
      </c>
    </row>
  </sheetData>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
  <sheetViews>
    <sheetView workbookViewId="0">
      <selection activeCell="E83" sqref="E83"/>
    </sheetView>
  </sheetViews>
  <sheetFormatPr defaultRowHeight="12.75" x14ac:dyDescent="0.2"/>
  <cols>
    <col min="1" max="1" width="9.42578125"/>
    <col min="2" max="2" width="6"/>
    <col min="3" max="3" width="36"/>
    <col min="4" max="4" width="8.28515625"/>
    <col min="5" max="5" width="15"/>
    <col min="6" max="6" width="4.42578125"/>
    <col min="7" max="7" width="5.85546875"/>
    <col min="8" max="8" width="4.5703125"/>
    <col min="9" max="9" width="8.7109375"/>
  </cols>
  <sheetData>
    <row r="1" spans="1:9" x14ac:dyDescent="0.2">
      <c r="A1" t="s">
        <v>1</v>
      </c>
      <c r="B1" t="s">
        <v>3</v>
      </c>
      <c r="C1" t="s">
        <v>52</v>
      </c>
      <c r="D1" t="s">
        <v>53</v>
      </c>
      <c r="E1" t="s">
        <v>54</v>
      </c>
      <c r="F1" t="s">
        <v>7</v>
      </c>
      <c r="G1" t="s">
        <v>55</v>
      </c>
      <c r="H1" t="s">
        <v>56</v>
      </c>
      <c r="I1" t="s">
        <v>57</v>
      </c>
    </row>
    <row r="2" spans="1:9" x14ac:dyDescent="0.2">
      <c r="A2" s="1">
        <v>46204</v>
      </c>
      <c r="B2">
        <v>7145</v>
      </c>
      <c r="C2" t="s">
        <v>58</v>
      </c>
      <c r="D2" t="s">
        <v>59</v>
      </c>
      <c r="E2" t="s">
        <v>60</v>
      </c>
      <c r="F2" t="s">
        <v>61</v>
      </c>
      <c r="G2" t="s">
        <v>61</v>
      </c>
      <c r="H2" t="s">
        <v>61</v>
      </c>
      <c r="I2" t="s">
        <v>62</v>
      </c>
    </row>
    <row r="3" spans="1:9" x14ac:dyDescent="0.2">
      <c r="A3" s="1">
        <v>46211</v>
      </c>
      <c r="B3">
        <v>7168</v>
      </c>
      <c r="C3" t="s">
        <v>63</v>
      </c>
      <c r="D3" t="s">
        <v>59</v>
      </c>
      <c r="E3" t="s">
        <v>64</v>
      </c>
      <c r="F3" t="s">
        <v>61</v>
      </c>
      <c r="G3" t="s">
        <v>61</v>
      </c>
      <c r="H3" t="s">
        <v>61</v>
      </c>
      <c r="I3" t="s">
        <v>62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MOS Marks That Don't Match Mark</vt:lpstr>
      <vt:lpstr>Sheet1</vt:lpstr>
      <vt:lpstr>Steps</vt:lpstr>
      <vt:lpstr>MOS Null Marks</vt:lpstr>
      <vt:lpstr>FundRun Missing Prices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Tay Nguyen</dc:creator>
  <cp:keywords/>
  <dc:description/>
  <cp:lastModifiedBy>Tay Nguyen</cp:lastModifiedBy>
  <dcterms:created xsi:type="dcterms:W3CDTF">2026-07-16T20:44:48Z</dcterms:created>
  <dcterms:modified xsi:type="dcterms:W3CDTF">2026-07-24T22:35:03Z</dcterms:modified>
  <cp:category/>
</cp:coreProperties>
</file>